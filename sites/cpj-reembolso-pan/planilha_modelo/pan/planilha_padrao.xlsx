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www\automacao\sites\cpj-reembolso-pan\planilha_modelo\pan\"/>
    </mc:Choice>
  </mc:AlternateContent>
  <xr:revisionPtr revIDLastSave="0" documentId="13_ncr:1_{4A19AC3D-0222-4C3D-859A-DC1F25CDB381}" xr6:coauthVersionLast="47" xr6:coauthVersionMax="47" xr10:uidLastSave="{00000000-0000-0000-0000-000000000000}"/>
  <bookViews>
    <workbookView xWindow="-120" yWindow="-120" windowWidth="51840" windowHeight="21120" firstSheet="1" activeTab="1" xr2:uid="{0A560D5E-4400-49E9-90E8-BE96B9B2DDF2}"/>
  </bookViews>
  <sheets>
    <sheet name="Apoio" sheetId="2" state="hidden" r:id="rId1"/>
    <sheet name="Base" sheetId="1" r:id="rId2"/>
    <sheet name="Contábil" sheetId="4" r:id="rId3"/>
    <sheet name="Infos" sheetId="3" r:id="rId4"/>
  </sheets>
  <definedNames>
    <definedName name="base">Tabela1[#All]</definedName>
    <definedName name="Cabecalho">Tabela7[#All]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E5" i="3"/>
  <c r="I2" i="4" s="1" a="1"/>
  <c r="I2" i="4" s="1"/>
  <c r="B2" i="4" l="1" a="1"/>
  <c r="B2" i="4" s="1"/>
  <c r="C2" i="4" a="1"/>
  <c r="C2" i="4" s="1"/>
  <c r="D2" i="4" a="1"/>
  <c r="D2" i="4" s="1"/>
  <c r="E2" i="4" a="1"/>
  <c r="E2" i="4" s="1"/>
  <c r="F2" i="4" a="1"/>
  <c r="F2" i="4" s="1"/>
  <c r="G2" i="4" a="1"/>
  <c r="G2" i="4" s="1"/>
  <c r="H2" i="4" a="1"/>
  <c r="H2" i="4" s="1"/>
  <c r="A2" i="4" a="1"/>
  <c r="A2" i="4" s="1"/>
  <c r="B17" i="3"/>
  <c r="D39" i="2" l="1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B18" i="3" l="1"/>
  <c r="B16" i="3"/>
  <c r="B20" i="3" l="1"/>
</calcChain>
</file>

<file path=xl/sharedStrings.xml><?xml version="1.0" encoding="utf-8"?>
<sst xmlns="http://schemas.openxmlformats.org/spreadsheetml/2006/main" count="402" uniqueCount="182">
  <si>
    <t>Lista de Despesas Possíveis</t>
  </si>
  <si>
    <t>Lista de Empresas</t>
  </si>
  <si>
    <t>Formas de Comprovante</t>
  </si>
  <si>
    <t>Nível 3</t>
  </si>
  <si>
    <t>Nível 2</t>
  </si>
  <si>
    <t>Nível 1</t>
  </si>
  <si>
    <t>Razão Social</t>
  </si>
  <si>
    <t>Lista de Comprovantes</t>
  </si>
  <si>
    <t>ID</t>
  </si>
  <si>
    <t>UF</t>
  </si>
  <si>
    <t>Recurso Inominado</t>
  </si>
  <si>
    <t>Recurso</t>
  </si>
  <si>
    <t>CUSTAS JUDICIAIS</t>
  </si>
  <si>
    <t>BANCO PAN S/A</t>
  </si>
  <si>
    <t>Guia (Boleto)</t>
  </si>
  <si>
    <t>8.01</t>
  </si>
  <si>
    <t>Recurso - Apelação</t>
  </si>
  <si>
    <t>BM SUA CASA PROMOTORA DE VENDAS LTDA</t>
  </si>
  <si>
    <t>Recibo</t>
  </si>
  <si>
    <t>8.02</t>
  </si>
  <si>
    <t>Recurso - Extraordinário</t>
  </si>
  <si>
    <t>BRAZILIAN FINANCE E REAL ESTATE S/A</t>
  </si>
  <si>
    <t>Nota Fiscal</t>
  </si>
  <si>
    <t>8.03</t>
  </si>
  <si>
    <t>Recurso - Especial</t>
  </si>
  <si>
    <t>BRAZILIAN SECURITIES COMPANHIA DE SECURITIZACAO</t>
  </si>
  <si>
    <t>8.04</t>
  </si>
  <si>
    <t>Recurso - Agravo</t>
  </si>
  <si>
    <t>PAN ADMINISTRADORA DE CONSORCIO LTDA</t>
  </si>
  <si>
    <t>8.05</t>
  </si>
  <si>
    <t>Recurso - Mandado de Segurança</t>
  </si>
  <si>
    <t>Custas</t>
  </si>
  <si>
    <t>PAN ARRENDAMENTO MERCANTIL S/A</t>
  </si>
  <si>
    <t>8.06</t>
  </si>
  <si>
    <t>Custas Iniciais (Reconvenção)</t>
  </si>
  <si>
    <t>Tipos de Pagamentos</t>
  </si>
  <si>
    <t>8.07</t>
  </si>
  <si>
    <t>Custas Finais</t>
  </si>
  <si>
    <t>Tipos</t>
  </si>
  <si>
    <t>8.08</t>
  </si>
  <si>
    <t>Guia de Ofício</t>
  </si>
  <si>
    <t>Tipodes de Natureza</t>
  </si>
  <si>
    <t>Fundo Fixo</t>
  </si>
  <si>
    <t>8.09</t>
  </si>
  <si>
    <t>Taxa Judicial</t>
  </si>
  <si>
    <t>Natureza</t>
  </si>
  <si>
    <t>8.10</t>
  </si>
  <si>
    <t>Honorários Periciais</t>
  </si>
  <si>
    <t>HONORÁRIOS</t>
  </si>
  <si>
    <t>ADMINISTRATIVO</t>
  </si>
  <si>
    <t>8.11</t>
  </si>
  <si>
    <t>Honorários Advocatícios</t>
  </si>
  <si>
    <t>CONSUMO</t>
  </si>
  <si>
    <t>8.12</t>
  </si>
  <si>
    <t>Honorário de Conciliador</t>
  </si>
  <si>
    <t>EMPRESAS</t>
  </si>
  <si>
    <t>8.13</t>
  </si>
  <si>
    <t>Correios / Taxa de postagem</t>
  </si>
  <si>
    <t>Outras despesas</t>
  </si>
  <si>
    <t>EXTRAJUDICIAL</t>
  </si>
  <si>
    <t>EMPRESAS IMOBILIARIO</t>
  </si>
  <si>
    <t>Formas de Pagamento</t>
  </si>
  <si>
    <t>8.14</t>
  </si>
  <si>
    <t>Despesas Cartoriais</t>
  </si>
  <si>
    <t>ESTRATEGICO CIVEL</t>
  </si>
  <si>
    <t>Lista Pagamentos</t>
  </si>
  <si>
    <t>8.15</t>
  </si>
  <si>
    <t>Taxa de Mandato</t>
  </si>
  <si>
    <t>EXTRAORDINARIO</t>
  </si>
  <si>
    <t>Boleto</t>
  </si>
  <si>
    <t>8.16</t>
  </si>
  <si>
    <t>Pesquisas</t>
  </si>
  <si>
    <t>IMOBILIARIO</t>
  </si>
  <si>
    <t>PIX</t>
  </si>
  <si>
    <t>8.17</t>
  </si>
  <si>
    <t>Porte de remessa e retorno</t>
  </si>
  <si>
    <t>MULTA PROCON</t>
  </si>
  <si>
    <t>TED</t>
  </si>
  <si>
    <t>8.18</t>
  </si>
  <si>
    <t>Desarquivamento</t>
  </si>
  <si>
    <t>PROCON</t>
  </si>
  <si>
    <t>DOC</t>
  </si>
  <si>
    <t>8.19</t>
  </si>
  <si>
    <t>Transporte</t>
  </si>
  <si>
    <t>RISCO ELEVADO</t>
  </si>
  <si>
    <t>8.20</t>
  </si>
  <si>
    <t>Condenação</t>
  </si>
  <si>
    <t>CONDENAÇÃO</t>
  </si>
  <si>
    <t>TRABALHISTA</t>
  </si>
  <si>
    <t>8.21</t>
  </si>
  <si>
    <t>Impugnação</t>
  </si>
  <si>
    <t>TRIBUTARIO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</si>
  <si>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</si>
  <si>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</si>
  <si>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</si>
  <si>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</si>
  <si>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</si>
  <si>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</si>
  <si>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</si>
  <si>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</si>
  <si>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</si>
  <si>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Lista de Produtos</t>
  </si>
  <si>
    <t>PRODUTO</t>
  </si>
  <si>
    <t>CC</t>
  </si>
  <si>
    <t>Produtos - Simples</t>
  </si>
  <si>
    <t>JURÍDICO - AUTOPAN</t>
  </si>
  <si>
    <t>JURÍDICO - BALCÃO</t>
  </si>
  <si>
    <t>JURÍDICO - CARTÕES</t>
  </si>
  <si>
    <t>JURÍDICO - CDC</t>
  </si>
  <si>
    <t>JURÍDICO - CONSIGNADO INSS</t>
  </si>
  <si>
    <t>JURÍDICO - CONSIGNADO PÚBLICO</t>
  </si>
  <si>
    <t>JURÍDICO - CONSÓRCIO</t>
  </si>
  <si>
    <t>JURÍDICO - EMPRESAS</t>
  </si>
  <si>
    <t>JURÍDICO - MOTOS</t>
  </si>
  <si>
    <t>JURÍDICO - VEÍCULOS LEVES</t>
  </si>
  <si>
    <t>JURÍDICO - VEÍCULOS NOVOS</t>
  </si>
  <si>
    <t>JURÍDICO - VEÍCULOS PESADOS</t>
  </si>
  <si>
    <t>JURÍDICO - CARTÃO CONSIGNADO</t>
  </si>
  <si>
    <t>JURÍDICO - IMOBILIÁRIO PF</t>
  </si>
  <si>
    <t>JURÍDICO - IMOBILIÁRIO PJ</t>
  </si>
  <si>
    <t>JURÍDICO - IMOBILIÁRIO BS</t>
  </si>
  <si>
    <t>JURÍDICO - INSTITUCIONAL</t>
  </si>
  <si>
    <t>JURÍDICO - IMOBILIÁRIO BS - SERIES</t>
  </si>
  <si>
    <t>JURÍDICO - CRÉDITO PESSOAL</t>
  </si>
  <si>
    <t>JURÍDICO - CORRETORA</t>
  </si>
  <si>
    <t>JURÍDICO - PAGUE PAN</t>
  </si>
  <si>
    <t>JURÍDICO - SEGUROS</t>
  </si>
  <si>
    <t>OUTROS</t>
  </si>
  <si>
    <t xml:space="preserve">  | Relatório de Reembolsos - Consumo | Varejo</t>
  </si>
  <si>
    <t>Coluna1</t>
  </si>
  <si>
    <t>ID do  Caso</t>
  </si>
  <si>
    <t>Data da Despesa</t>
  </si>
  <si>
    <t>R$ Valor</t>
  </si>
  <si>
    <t>Nº Guia</t>
  </si>
  <si>
    <t>Nível 3 - Despesa</t>
  </si>
  <si>
    <t>Complemento</t>
  </si>
  <si>
    <t>Tipo de Comprovante</t>
  </si>
  <si>
    <t>Forma de Pagamento</t>
  </si>
  <si>
    <t>ID da Evidência</t>
  </si>
  <si>
    <t>Produto</t>
  </si>
  <si>
    <t xml:space="preserve">Natureza </t>
  </si>
  <si>
    <t>Nº Processo</t>
  </si>
  <si>
    <t>Autor</t>
  </si>
  <si>
    <t>Réu</t>
  </si>
  <si>
    <t>Empresa Pagadora</t>
  </si>
  <si>
    <t>Observação</t>
  </si>
  <si>
    <t>Validação</t>
  </si>
  <si>
    <t>Range de Pagamento</t>
  </si>
  <si>
    <t>Duplicidade na solicitação</t>
  </si>
  <si>
    <t>Campos Não Preenchidos</t>
  </si>
  <si>
    <t>Centro de Custo</t>
  </si>
  <si>
    <t>Escritório</t>
  </si>
  <si>
    <t>CNPJ</t>
  </si>
  <si>
    <t>Data da Solicitação</t>
  </si>
  <si>
    <t>Nº Nota ou Recibo</t>
  </si>
  <si>
    <t>N° planilha de pagamentos do PANJUR</t>
  </si>
  <si>
    <t>Tipo</t>
  </si>
  <si>
    <t>DIAS COSTA ADVOGADOS ASSOCIADOS</t>
  </si>
  <si>
    <t>10.999.280/0001-47</t>
  </si>
  <si>
    <t>COD / FATURA</t>
  </si>
  <si>
    <t>TIPO DE DESPESA</t>
  </si>
  <si>
    <t>EMPRESA</t>
  </si>
  <si>
    <t>FORNECEDOR</t>
  </si>
  <si>
    <t>PASTA</t>
  </si>
  <si>
    <t>AUTOR</t>
  </si>
  <si>
    <t>RÉU</t>
  </si>
  <si>
    <t>PROCESSO</t>
  </si>
  <si>
    <t>VALOR</t>
  </si>
  <si>
    <t xml:space="preserve">        Solicitação de Reembolso - Custas</t>
  </si>
  <si>
    <t>Informações Gerais</t>
  </si>
  <si>
    <t>Cabeçaho</t>
  </si>
  <si>
    <t>Informação</t>
  </si>
  <si>
    <t>Escritório: DIAS COSTA SOCIEDADE DE ADVOGADOS</t>
  </si>
  <si>
    <t>CNPJ: 10.999.280/0001-47</t>
  </si>
  <si>
    <t>N° planilha de pagamentos do PANJUD</t>
  </si>
  <si>
    <t>Tipo:</t>
  </si>
  <si>
    <t>Reembolso</t>
  </si>
  <si>
    <t>R$ Total (Não contabilizado):</t>
  </si>
  <si>
    <t>Correções necessárias!</t>
  </si>
  <si>
    <t>R$ Total (Pré-validado): R$</t>
  </si>
  <si>
    <t xml:space="preserve">Data da Solicitação: </t>
  </si>
  <si>
    <t xml:space="preserve">Nº Nota ou Recibo: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</si>
</sst>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00.00"/>
    <numFmt numFmtId="165" formatCode="0\ &quot;Registros&quot;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Segoe UI Light"/>
      <family val="2"/>
    </font>
    <font>
      <sz val="8"/>
      <name val="Calibri"/>
      <family val="2"/>
      <scheme val="minor"/>
    </font>
    <font>
      <sz val="11"/>
      <color theme="0"/>
      <name val="Calibri Light"/>
      <family val="2"/>
      <scheme val="major"/>
    </font>
    <font>
      <sz val="11"/>
      <color theme="1"/>
      <name val="Montserrat"/>
    </font>
    <font>
      <sz val="16"/>
      <color theme="0"/>
      <name val="Calibri Light"/>
      <family val="2"/>
      <scheme val="major"/>
    </font>
    <font>
      <sz val="12"/>
      <color theme="0"/>
      <name val="Calibri Light"/>
      <family val="2"/>
      <scheme val="major"/>
    </font>
    <font>
      <sz val="12"/>
      <color theme="1" tint="0.249977111117893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theme="1" tint="0.14999847407452621"/>
      <name val="Calibri Light"/>
      <family val="2"/>
      <scheme val="major"/>
    </font>
    <font>
      <b/>
      <sz val="12"/>
      <color rgb="FFFF5630"/>
      <name val="Calibri Light"/>
      <family val="2"/>
      <scheme val="major"/>
    </font>
    <font>
      <sz val="11"/>
      <color rgb="FF0094D6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1"/>
      <color theme="2" tint="-0.749992370372631"/>
      <name val="Calibri Light"/>
      <family val="2"/>
      <scheme val="major"/>
    </font>
    <font>
      <sz val="11"/>
      <color theme="1"/>
      <name val="Segoe UI"/>
      <family val="2"/>
    </font>
    <font>
      <sz val="14"/>
      <color theme="0"/>
      <name val="Segoe UI Light"/>
      <family val="2"/>
    </font>
    <font>
      <sz val="11"/>
      <color theme="0"/>
      <name val="Segoe UI Light"/>
      <family val="2"/>
    </font>
    <font>
      <sz val="11"/>
      <color rgb="FFFF0000"/>
      <name val="Montserrat"/>
    </font>
    <font>
      <sz val="11"/>
      <color rgb="FFFF0000"/>
      <name val="Segoe UI Light"/>
      <family val="2"/>
    </font>
    <font>
      <sz val="11"/>
      <color theme="0"/>
      <name val="Montserrat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Calibri Light"/>
      <family val="2"/>
      <scheme val="major"/>
    </font>
    <font>
      <sz val="11"/>
      <name val="Calibri Light"/>
      <family val="2"/>
      <scheme val="major"/>
    </font>
    <font>
      <sz val="11"/>
      <name val="Calibri"/>
      <family val="2"/>
      <scheme val="minor"/>
    </font>
    <font>
      <sz val="11"/>
      <color rgb="FFFF5630"/>
      <name val="Calibri"/>
      <family val="2"/>
      <scheme val="minor"/>
    </font>
    <font>
      <sz val="10"/>
      <name val="Arial"/>
      <family val="2"/>
    </font>
    <font>
      <sz val="11"/>
      <color theme="2" tint="-0.74999237037263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C5FF"/>
        <bgColor indexed="64"/>
      </patternFill>
    </fill>
    <fill>
      <patternFill patternType="solid">
        <fgColor rgb="FF0094D6"/>
        <bgColor indexed="64"/>
      </patternFill>
    </fill>
    <fill>
      <patternFill patternType="solid">
        <fgColor rgb="FF06B2F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thin">
        <color rgb="FF00C5FF"/>
      </bottom>
      <diagonal/>
    </border>
    <border>
      <left/>
      <right/>
      <top/>
      <bottom style="thin">
        <color rgb="FFFF5630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2" fillId="0" borderId="0"/>
    <xf numFmtId="0" fontId="23" fillId="0" borderId="0"/>
    <xf numFmtId="0" fontId="24" fillId="0" borderId="0"/>
    <xf numFmtId="0" fontId="29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4" borderId="0" xfId="0" applyFont="1" applyFill="1"/>
    <xf numFmtId="0" fontId="0" fillId="4" borderId="0" xfId="0" applyFill="1"/>
    <xf numFmtId="0" fontId="6" fillId="4" borderId="0" xfId="0" applyFont="1" applyFill="1"/>
    <xf numFmtId="0" fontId="6" fillId="0" borderId="0" xfId="0" applyFont="1"/>
    <xf numFmtId="0" fontId="6" fillId="0" borderId="0" xfId="0" applyFont="1" applyAlignment="1">
      <alignment vertical="center"/>
    </xf>
    <xf numFmtId="0" fontId="2" fillId="4" borderId="0" xfId="0" applyFont="1" applyFill="1"/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164" fontId="11" fillId="0" borderId="0" xfId="0" applyNumberFormat="1" applyFont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164" fontId="11" fillId="3" borderId="0" xfId="0" applyNumberFormat="1" applyFont="1" applyFill="1" applyAlignment="1">
      <alignment horizontal="left" vertical="center"/>
    </xf>
    <xf numFmtId="0" fontId="11" fillId="0" borderId="0" xfId="0" applyFont="1" applyAlignment="1" applyProtection="1">
      <alignment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14" fontId="11" fillId="0" borderId="0" xfId="0" applyNumberFormat="1" applyFont="1" applyAlignment="1" applyProtection="1">
      <alignment horizontal="left" vertical="center"/>
      <protection locked="0"/>
    </xf>
    <xf numFmtId="0" fontId="2" fillId="5" borderId="0" xfId="0" applyFont="1" applyFill="1" applyAlignment="1" applyProtection="1">
      <alignment horizontal="center" vertical="center" wrapText="1"/>
      <protection locked="0"/>
    </xf>
    <xf numFmtId="0" fontId="2" fillId="5" borderId="0" xfId="0" applyFont="1" applyFill="1" applyAlignment="1" applyProtection="1">
      <alignment vertical="center" wrapText="1"/>
      <protection locked="0"/>
    </xf>
    <xf numFmtId="0" fontId="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65" fontId="11" fillId="0" borderId="0" xfId="0" applyNumberFormat="1" applyFont="1" applyAlignment="1">
      <alignment vertical="center"/>
    </xf>
    <xf numFmtId="44" fontId="0" fillId="0" borderId="0" xfId="1" applyFont="1" applyAlignment="1">
      <alignment horizontal="center"/>
    </xf>
    <xf numFmtId="0" fontId="11" fillId="3" borderId="0" xfId="0" applyFont="1" applyFill="1" applyAlignment="1" applyProtection="1">
      <alignment horizontal="left" vertical="center"/>
      <protection locked="0"/>
    </xf>
    <xf numFmtId="165" fontId="8" fillId="0" borderId="0" xfId="0" applyNumberFormat="1" applyFont="1" applyAlignment="1">
      <alignment vertical="center"/>
    </xf>
    <xf numFmtId="0" fontId="16" fillId="6" borderId="0" xfId="0" applyFont="1" applyFill="1"/>
    <xf numFmtId="0" fontId="17" fillId="6" borderId="0" xfId="0" applyFont="1" applyFill="1" applyAlignment="1">
      <alignment vertical="center"/>
    </xf>
    <xf numFmtId="0" fontId="3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3" fillId="6" borderId="0" xfId="0" applyFont="1" applyFill="1"/>
    <xf numFmtId="14" fontId="3" fillId="6" borderId="0" xfId="0" applyNumberFormat="1" applyFont="1" applyFill="1"/>
    <xf numFmtId="0" fontId="0" fillId="6" borderId="0" xfId="0" applyFill="1"/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/>
    <xf numFmtId="0" fontId="2" fillId="7" borderId="0" xfId="0" applyFont="1" applyFill="1" applyAlignment="1">
      <alignment horizontal="left"/>
    </xf>
    <xf numFmtId="44" fontId="15" fillId="0" borderId="0" xfId="1" applyFont="1" applyFill="1" applyAlignment="1" applyProtection="1">
      <alignment horizontal="center" vertical="center"/>
      <protection locked="0"/>
    </xf>
    <xf numFmtId="0" fontId="15" fillId="0" borderId="0" xfId="1" applyNumberFormat="1" applyFont="1" applyFill="1" applyAlignment="1" applyProtection="1">
      <alignment horizontal="center" vertical="center"/>
      <protection locked="0"/>
    </xf>
    <xf numFmtId="14" fontId="15" fillId="0" borderId="0" xfId="1" applyNumberFormat="1" applyFont="1" applyFill="1" applyAlignment="1" applyProtection="1">
      <alignment horizontal="center" vertical="center"/>
      <protection locked="0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5" fillId="0" borderId="0" xfId="1" applyNumberFormat="1" applyFont="1" applyFill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horizontal="center" vertical="center"/>
    </xf>
    <xf numFmtId="12" fontId="15" fillId="0" borderId="0" xfId="1" applyNumberFormat="1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4" fillId="8" borderId="0" xfId="0" applyFont="1" applyFill="1" applyAlignment="1">
      <alignment horizontal="center" vertical="center"/>
    </xf>
    <xf numFmtId="14" fontId="15" fillId="8" borderId="0" xfId="1" applyNumberFormat="1" applyFont="1" applyFill="1" applyAlignment="1" applyProtection="1">
      <alignment horizontal="center" vertical="center"/>
      <protection locked="0"/>
    </xf>
    <xf numFmtId="4" fontId="15" fillId="8" borderId="0" xfId="1" applyNumberFormat="1" applyFont="1" applyFill="1" applyAlignment="1" applyProtection="1">
      <alignment horizontal="center" vertical="center"/>
      <protection locked="0"/>
    </xf>
    <xf numFmtId="12" fontId="15" fillId="8" borderId="0" xfId="1" applyNumberFormat="1" applyFont="1" applyFill="1" applyAlignment="1" applyProtection="1">
      <alignment horizontal="center" vertical="center"/>
      <protection locked="0"/>
    </xf>
    <xf numFmtId="44" fontId="15" fillId="8" borderId="0" xfId="1" applyFont="1" applyFill="1" applyAlignment="1" applyProtection="1">
      <alignment horizontal="center" vertical="center"/>
      <protection locked="0"/>
    </xf>
    <xf numFmtId="0" fontId="15" fillId="8" borderId="0" xfId="1" applyNumberFormat="1" applyFont="1" applyFill="1" applyAlignment="1" applyProtection="1">
      <alignment horizontal="center" vertical="center"/>
      <protection locked="0"/>
    </xf>
    <xf numFmtId="0" fontId="15" fillId="8" borderId="0" xfId="0" applyFont="1" applyFill="1" applyAlignment="1" applyProtection="1">
      <alignment horizontal="center" vertical="center"/>
      <protection locked="0"/>
    </xf>
    <xf numFmtId="0" fontId="15" fillId="8" borderId="0" xfId="0" applyFont="1" applyFill="1" applyAlignment="1">
      <alignment horizontal="center" vertical="center"/>
    </xf>
    <xf numFmtId="0" fontId="0" fillId="8" borderId="0" xfId="0" applyFill="1"/>
    <xf numFmtId="0" fontId="3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9" borderId="0" xfId="0" applyFill="1"/>
    <xf numFmtId="0" fontId="15" fillId="0" borderId="0" xfId="1" applyNumberFormat="1" applyFont="1" applyAlignment="1" applyProtection="1">
      <alignment horizontal="center" vertical="center"/>
      <protection locked="0"/>
    </xf>
    <xf numFmtId="49" fontId="15" fillId="0" borderId="0" xfId="1" applyNumberFormat="1" applyFont="1" applyFill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12" fontId="26" fillId="0" borderId="0" xfId="1" applyNumberFormat="1" applyFont="1" applyFill="1" applyAlignment="1" applyProtection="1">
      <alignment horizontal="center" vertical="center"/>
      <protection locked="0"/>
    </xf>
    <xf numFmtId="14" fontId="26" fillId="0" borderId="0" xfId="1" applyNumberFormat="1" applyFont="1" applyFill="1" applyAlignment="1" applyProtection="1">
      <alignment horizontal="center" vertical="center"/>
      <protection locked="0"/>
    </xf>
    <xf numFmtId="4" fontId="26" fillId="0" borderId="0" xfId="1" applyNumberFormat="1" applyFont="1" applyFill="1" applyAlignment="1" applyProtection="1">
      <alignment horizontal="center" vertical="center"/>
      <protection locked="0"/>
    </xf>
    <xf numFmtId="44" fontId="26" fillId="0" borderId="0" xfId="1" applyFont="1" applyFill="1" applyAlignment="1" applyProtection="1">
      <alignment horizontal="center" vertical="center"/>
      <protection locked="0"/>
    </xf>
    <xf numFmtId="0" fontId="26" fillId="0" borderId="0" xfId="1" applyNumberFormat="1" applyFont="1" applyFill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/>
    </xf>
    <xf numFmtId="0" fontId="27" fillId="8" borderId="0" xfId="0" applyFont="1" applyFill="1"/>
    <xf numFmtId="0" fontId="28" fillId="8" borderId="0" xfId="0" applyFont="1" applyFill="1"/>
    <xf numFmtId="1" fontId="3" fillId="6" borderId="0" xfId="0" applyNumberFormat="1" applyFont="1" applyFill="1" applyAlignment="1">
      <alignment horizontal="center"/>
    </xf>
    <xf numFmtId="1" fontId="2" fillId="5" borderId="0" xfId="0" applyNumberFormat="1" applyFont="1" applyFill="1" applyAlignment="1" applyProtection="1">
      <alignment horizontal="center" vertical="center" wrapText="1"/>
      <protection locked="0"/>
    </xf>
    <xf numFmtId="1" fontId="15" fillId="0" borderId="0" xfId="1" applyNumberFormat="1" applyFont="1" applyFill="1" applyAlignment="1" applyProtection="1">
      <alignment horizontal="center" vertical="center"/>
      <protection locked="0"/>
    </xf>
    <xf numFmtId="1" fontId="15" fillId="8" borderId="0" xfId="1" applyNumberFormat="1" applyFont="1" applyFill="1" applyAlignment="1" applyProtection="1">
      <alignment horizontal="center" vertical="center"/>
      <protection locked="0"/>
    </xf>
    <xf numFmtId="1" fontId="26" fillId="0" borderId="0" xfId="1" quotePrefix="1" applyNumberFormat="1" applyFont="1" applyFill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29" fillId="0" borderId="0" xfId="0" applyFont="1" applyAlignment="1">
      <alignment horizontal="center" wrapText="1"/>
    </xf>
    <xf numFmtId="44" fontId="30" fillId="0" borderId="0" xfId="1" applyFont="1" applyAlignment="1" applyProtection="1">
      <alignment horizontal="center" vertical="center"/>
      <protection locked="0"/>
    </xf>
    <xf numFmtId="49" fontId="15" fillId="0" borderId="0" xfId="1" quotePrefix="1" applyNumberFormat="1" applyFont="1" applyFill="1" applyAlignment="1" applyProtection="1">
      <alignment horizontal="center" vertical="center"/>
      <protection locked="0"/>
    </xf>
    <xf numFmtId="49" fontId="15" fillId="8" borderId="0" xfId="1" applyNumberFormat="1" applyFont="1" applyFill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/>
    </xf>
    <xf numFmtId="0" fontId="14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NumberFormat="1" applyFont="1" applyFill="1" applyAlignment="1">
      <alignment horizontal="center" vertical="center"/>
    </xf>
    <xf numFmtId="0" fontId="15" fillId="0" borderId="0" xfId="0" applyNumberFormat="1" applyFont="1" applyFill="1" applyAlignment="1">
      <alignment vertical="center"/>
    </xf>
    <xf numFmtId="14" fontId="15" fillId="0" borderId="0" xfId="0" applyNumberFormat="1" applyFont="1" applyFill="1" applyAlignment="1">
      <alignment horizontal="center" vertical="center"/>
    </xf>
  </cellXfs>
  <cellStyles count="6">
    <cellStyle name="Moeda" xfId="1" builtinId="4"/>
    <cellStyle name="Normal" xfId="0" builtinId="0"/>
    <cellStyle name="Normal 2" xfId="2" xr:uid="{D9A543A3-567D-4DFF-8F94-332E6CD372CC}"/>
    <cellStyle name="Normal 3" xfId="3" xr:uid="{A6B1F53A-DD11-44D6-9FB2-A23F74026CE6}"/>
    <cellStyle name="Normal 4" xfId="4" xr:uid="{7C41B9F9-2293-44D3-BEB4-D4668CBB4AF0}"/>
    <cellStyle name="Normal 5" xfId="5" xr:uid="{E64A54BB-EE5F-426A-8E09-8B18D01E45E5}"/>
  </cellStyles>
  <dxfs count="77">
    <dxf>
      <font>
        <color rgb="FF9C0006"/>
      </font>
      <fill>
        <patternFill>
          <bgColor rgb="FFFFC7CE"/>
        </patternFill>
      </fill>
    </dxf>
    <dxf>
      <font>
        <b val="0"/>
        <i val="0"/>
        <color rgb="FFC00000"/>
      </font>
      <fill>
        <patternFill patternType="none">
          <bgColor auto="1"/>
        </patternFill>
      </fill>
    </dxf>
    <dxf>
      <font>
        <color theme="0"/>
      </font>
    </dxf>
    <dxf>
      <font>
        <b val="0"/>
        <i val="0"/>
        <color rgb="FFC0000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lor rgb="FFFF5630"/>
      </font>
      <fill>
        <patternFill patternType="solid">
          <bgColor theme="0" tint="-4.9989318521683403E-2"/>
        </patternFill>
      </fill>
    </dxf>
    <dxf>
      <font>
        <b/>
        <i val="0"/>
        <color rgb="FF0094D6"/>
      </font>
      <fill>
        <patternFill patternType="none">
          <bgColor auto="1"/>
        </patternFill>
      </fill>
    </dxf>
    <dxf>
      <font>
        <color theme="0"/>
      </font>
      <border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FF5630"/>
        </patternFill>
      </fill>
    </dxf>
    <dxf>
      <font>
        <b/>
        <i val="0"/>
        <color theme="0"/>
      </font>
      <fill>
        <patternFill>
          <bgColor rgb="FFFF5630"/>
        </patternFill>
      </fill>
    </dxf>
    <dxf>
      <font>
        <b/>
        <i val="0"/>
        <color theme="0"/>
      </font>
      <fill>
        <patternFill>
          <bgColor rgb="FFFF5630"/>
        </patternFill>
      </fill>
    </dxf>
    <dxf>
      <font>
        <b val="0"/>
        <i val="0"/>
        <color rgb="FFC00000"/>
      </font>
      <fill>
        <patternFill patternType="none">
          <bgColor auto="1"/>
        </patternFill>
      </fill>
    </dxf>
    <dxf>
      <font>
        <b val="0"/>
        <i val="0"/>
        <color rgb="FFC00000"/>
      </font>
      <fill>
        <patternFill patternType="none">
          <bgColor auto="1"/>
        </patternFill>
      </fill>
    </dxf>
    <dxf>
      <font>
        <b val="0"/>
        <i val="0"/>
        <color rgb="FFC00000"/>
      </font>
      <fill>
        <patternFill patternType="none">
          <bgColor auto="1"/>
        </patternFill>
      </fill>
    </dxf>
    <dxf>
      <font>
        <b val="0"/>
        <i val="0"/>
        <color rgb="FFC00000"/>
      </font>
      <fill>
        <patternFill patternType="none">
          <bgColor auto="1"/>
        </patternFill>
      </fill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 Light"/>
        <family val="2"/>
        <scheme val="maj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14999847407452621"/>
        <name val="Calibri Light"/>
        <family val="2"/>
        <scheme val="maj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 Light"/>
        <family val="2"/>
        <scheme val="major"/>
      </font>
      <numFmt numFmtId="165" formatCode="0\ &quot;Registros&quot;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Calibri Light"/>
        <family val="2"/>
        <scheme val="maj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14999847407452621"/>
        <name val="Calibri Light"/>
        <family val="2"/>
        <scheme val="maj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17" formatCode="#\ ?/?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>
          <fgColor indexed="64"/>
          <bgColor rgb="FF0094D6"/>
        </patternFill>
      </fill>
      <alignment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630"/>
      <color rgb="FF0094D6"/>
      <color rgb="FF00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0</xdr:rowOff>
    </xdr:from>
    <xdr:to>
      <xdr:col>0</xdr:col>
      <xdr:colOff>473393</xdr:colOff>
      <xdr:row>1</xdr:row>
      <xdr:rowOff>215900</xdr:rowOff>
    </xdr:to>
    <xdr:pic>
      <xdr:nvPicPr>
        <xdr:cNvPr id="2" name="Imagem 1" descr="Banco PAN - Home | Facebook">
          <a:extLst>
            <a:ext uri="{FF2B5EF4-FFF2-40B4-BE49-F238E27FC236}">
              <a16:creationId xmlns:a16="http://schemas.microsoft.com/office/drawing/2014/main" id="{F6A5B6AB-653C-4282-9F6F-46DCBAD431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64" t="23194" r="30325" b="20653"/>
        <a:stretch/>
      </xdr:blipFill>
      <xdr:spPr bwMode="auto">
        <a:xfrm>
          <a:off x="71438" y="0"/>
          <a:ext cx="392430" cy="502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0</xdr:row>
      <xdr:rowOff>44450</xdr:rowOff>
    </xdr:from>
    <xdr:to>
      <xdr:col>1</xdr:col>
      <xdr:colOff>120650</xdr:colOff>
      <xdr:row>0</xdr:row>
      <xdr:rowOff>447675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54FBA1DE-3E7F-40D6-BB43-D88C730BB73B}"/>
            </a:ext>
          </a:extLst>
        </xdr:cNvPr>
        <xdr:cNvGrpSpPr/>
      </xdr:nvGrpSpPr>
      <xdr:grpSpPr>
        <a:xfrm>
          <a:off x="73025" y="44450"/>
          <a:ext cx="800100" cy="403225"/>
          <a:chOff x="3151594" y="2872505"/>
          <a:chExt cx="2124348" cy="1001133"/>
        </a:xfrm>
      </xdr:grpSpPr>
      <xdr:sp macro="" textlink="">
        <xdr:nvSpPr>
          <xdr:cNvPr id="6" name="Forma Livre: Forma 5">
            <a:extLst>
              <a:ext uri="{FF2B5EF4-FFF2-40B4-BE49-F238E27FC236}">
                <a16:creationId xmlns:a16="http://schemas.microsoft.com/office/drawing/2014/main" id="{A1914C41-F66F-41A0-9D9E-5E44ABD8C142}"/>
              </a:ext>
            </a:extLst>
          </xdr:cNvPr>
          <xdr:cNvSpPr/>
        </xdr:nvSpPr>
        <xdr:spPr>
          <a:xfrm>
            <a:off x="3151595" y="2872505"/>
            <a:ext cx="176495" cy="176451"/>
          </a:xfrm>
          <a:custGeom>
            <a:avLst/>
            <a:gdLst>
              <a:gd name="connsiteX0" fmla="*/ 0 w 176495"/>
              <a:gd name="connsiteY0" fmla="*/ 0 h 176451"/>
              <a:gd name="connsiteX1" fmla="*/ 176495 w 176495"/>
              <a:gd name="connsiteY1" fmla="*/ 0 h 176451"/>
              <a:gd name="connsiteX2" fmla="*/ 176495 w 176495"/>
              <a:gd name="connsiteY2" fmla="*/ 176451 h 176451"/>
              <a:gd name="connsiteX3" fmla="*/ 0 w 176495"/>
              <a:gd name="connsiteY3" fmla="*/ 176451 h 1764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76495" h="176451">
                <a:moveTo>
                  <a:pt x="0" y="0"/>
                </a:moveTo>
                <a:lnTo>
                  <a:pt x="176495" y="0"/>
                </a:lnTo>
                <a:lnTo>
                  <a:pt x="176495" y="176451"/>
                </a:lnTo>
                <a:lnTo>
                  <a:pt x="0" y="176451"/>
                </a:lnTo>
                <a:close/>
              </a:path>
            </a:pathLst>
          </a:cu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7" name="Forma Livre: Forma 6">
            <a:extLst>
              <a:ext uri="{FF2B5EF4-FFF2-40B4-BE49-F238E27FC236}">
                <a16:creationId xmlns:a16="http://schemas.microsoft.com/office/drawing/2014/main" id="{94DF42B0-7EF4-4261-86AF-BFABEDC4E637}"/>
              </a:ext>
            </a:extLst>
          </xdr:cNvPr>
          <xdr:cNvSpPr/>
        </xdr:nvSpPr>
        <xdr:spPr>
          <a:xfrm>
            <a:off x="3151594" y="3116019"/>
            <a:ext cx="2124348" cy="757619"/>
          </a:xfrm>
          <a:custGeom>
            <a:avLst/>
            <a:gdLst>
              <a:gd name="connsiteX0" fmla="*/ 1415637 w 2124348"/>
              <a:gd name="connsiteY0" fmla="*/ 455973 h 757619"/>
              <a:gd name="connsiteX1" fmla="*/ 1356320 w 2124348"/>
              <a:gd name="connsiteY1" fmla="*/ 595557 h 757619"/>
              <a:gd name="connsiteX2" fmla="*/ 1415042 w 2124348"/>
              <a:gd name="connsiteY2" fmla="*/ 599934 h 757619"/>
              <a:gd name="connsiteX3" fmla="*/ 1474105 w 2124348"/>
              <a:gd name="connsiteY3" fmla="*/ 595472 h 757619"/>
              <a:gd name="connsiteX4" fmla="*/ 957327 w 2124348"/>
              <a:gd name="connsiteY4" fmla="*/ 429119 h 757619"/>
              <a:gd name="connsiteX5" fmla="*/ 957327 w 2124348"/>
              <a:gd name="connsiteY5" fmla="*/ 546565 h 757619"/>
              <a:gd name="connsiteX6" fmla="*/ 1042564 w 2124348"/>
              <a:gd name="connsiteY6" fmla="*/ 546565 h 757619"/>
              <a:gd name="connsiteX7" fmla="*/ 1110338 w 2124348"/>
              <a:gd name="connsiteY7" fmla="*/ 487714 h 757619"/>
              <a:gd name="connsiteX8" fmla="*/ 1042564 w 2124348"/>
              <a:gd name="connsiteY8" fmla="*/ 429119 h 757619"/>
              <a:gd name="connsiteX9" fmla="*/ 1358869 w 2124348"/>
              <a:gd name="connsiteY9" fmla="*/ 342394 h 757619"/>
              <a:gd name="connsiteX10" fmla="*/ 1470535 w 2124348"/>
              <a:gd name="connsiteY10" fmla="*/ 342394 h 757619"/>
              <a:gd name="connsiteX11" fmla="*/ 1648829 w 2124348"/>
              <a:gd name="connsiteY11" fmla="*/ 757576 h 757619"/>
              <a:gd name="connsiteX12" fmla="*/ 1541963 w 2124348"/>
              <a:gd name="connsiteY12" fmla="*/ 757576 h 757619"/>
              <a:gd name="connsiteX13" fmla="*/ 1509543 w 2124348"/>
              <a:gd name="connsiteY13" fmla="*/ 680157 h 757619"/>
              <a:gd name="connsiteX14" fmla="*/ 1499897 w 2124348"/>
              <a:gd name="connsiteY14" fmla="*/ 682112 h 757619"/>
              <a:gd name="connsiteX15" fmla="*/ 1415000 w 2124348"/>
              <a:gd name="connsiteY15" fmla="*/ 689633 h 757619"/>
              <a:gd name="connsiteX16" fmla="*/ 1320287 w 2124348"/>
              <a:gd name="connsiteY16" fmla="*/ 680242 h 757619"/>
              <a:gd name="connsiteX17" fmla="*/ 1287399 w 2124348"/>
              <a:gd name="connsiteY17" fmla="*/ 757576 h 757619"/>
              <a:gd name="connsiteX18" fmla="*/ 1181171 w 2124348"/>
              <a:gd name="connsiteY18" fmla="*/ 757576 h 757619"/>
              <a:gd name="connsiteX19" fmla="*/ 856580 w 2124348"/>
              <a:gd name="connsiteY19" fmla="*/ 342394 h 757619"/>
              <a:gd name="connsiteX20" fmla="*/ 1054164 w 2124348"/>
              <a:gd name="connsiteY20" fmla="*/ 342394 h 757619"/>
              <a:gd name="connsiteX21" fmla="*/ 1211679 w 2124348"/>
              <a:gd name="connsiteY21" fmla="*/ 487672 h 757619"/>
              <a:gd name="connsiteX22" fmla="*/ 1053569 w 2124348"/>
              <a:gd name="connsiteY22" fmla="*/ 638728 h 757619"/>
              <a:gd name="connsiteX23" fmla="*/ 957327 w 2124348"/>
              <a:gd name="connsiteY23" fmla="*/ 638728 h 757619"/>
              <a:gd name="connsiteX24" fmla="*/ 957327 w 2124348"/>
              <a:gd name="connsiteY24" fmla="*/ 757576 h 757619"/>
              <a:gd name="connsiteX25" fmla="*/ 856580 w 2124348"/>
              <a:gd name="connsiteY25" fmla="*/ 757576 h 757619"/>
              <a:gd name="connsiteX26" fmla="*/ 1717112 w 2124348"/>
              <a:gd name="connsiteY26" fmla="*/ 340270 h 757619"/>
              <a:gd name="connsiteX27" fmla="*/ 1818369 w 2124348"/>
              <a:gd name="connsiteY27" fmla="*/ 340270 h 757619"/>
              <a:gd name="connsiteX28" fmla="*/ 2007157 w 2124348"/>
              <a:gd name="connsiteY28" fmla="*/ 594963 h 757619"/>
              <a:gd name="connsiteX29" fmla="*/ 2007157 w 2124348"/>
              <a:gd name="connsiteY29" fmla="*/ 340270 h 757619"/>
              <a:gd name="connsiteX30" fmla="*/ 2108414 w 2124348"/>
              <a:gd name="connsiteY30" fmla="*/ 340270 h 757619"/>
              <a:gd name="connsiteX31" fmla="*/ 2108414 w 2124348"/>
              <a:gd name="connsiteY31" fmla="*/ 757619 h 757619"/>
              <a:gd name="connsiteX32" fmla="*/ 2007157 w 2124348"/>
              <a:gd name="connsiteY32" fmla="*/ 757619 h 757619"/>
              <a:gd name="connsiteX33" fmla="*/ 1818369 w 2124348"/>
              <a:gd name="connsiteY33" fmla="*/ 502289 h 757619"/>
              <a:gd name="connsiteX34" fmla="*/ 1818369 w 2124348"/>
              <a:gd name="connsiteY34" fmla="*/ 757619 h 757619"/>
              <a:gd name="connsiteX35" fmla="*/ 1717112 w 2124348"/>
              <a:gd name="connsiteY35" fmla="*/ 757619 h 757619"/>
              <a:gd name="connsiteX36" fmla="*/ 299181 w 2124348"/>
              <a:gd name="connsiteY36" fmla="*/ 176424 h 757619"/>
              <a:gd name="connsiteX37" fmla="*/ 176466 w 2124348"/>
              <a:gd name="connsiteY37" fmla="*/ 299138 h 757619"/>
              <a:gd name="connsiteX38" fmla="*/ 299181 w 2124348"/>
              <a:gd name="connsiteY38" fmla="*/ 421853 h 757619"/>
              <a:gd name="connsiteX39" fmla="*/ 421895 w 2124348"/>
              <a:gd name="connsiteY39" fmla="*/ 299138 h 757619"/>
              <a:gd name="connsiteX40" fmla="*/ 299181 w 2124348"/>
              <a:gd name="connsiteY40" fmla="*/ 176424 h 757619"/>
              <a:gd name="connsiteX41" fmla="*/ 906083 w 2124348"/>
              <a:gd name="connsiteY41" fmla="*/ 176211 h 757619"/>
              <a:gd name="connsiteX42" fmla="*/ 906083 w 2124348"/>
              <a:gd name="connsiteY42" fmla="*/ 216026 h 757619"/>
              <a:gd name="connsiteX43" fmla="*/ 906083 w 2124348"/>
              <a:gd name="connsiteY43" fmla="*/ 216068 h 757619"/>
              <a:gd name="connsiteX44" fmla="*/ 948956 w 2124348"/>
              <a:gd name="connsiteY44" fmla="*/ 216068 h 757619"/>
              <a:gd name="connsiteX45" fmla="*/ 978828 w 2124348"/>
              <a:gd name="connsiteY45" fmla="*/ 196140 h 757619"/>
              <a:gd name="connsiteX46" fmla="*/ 948956 w 2124348"/>
              <a:gd name="connsiteY46" fmla="*/ 176211 h 757619"/>
              <a:gd name="connsiteX47" fmla="*/ 1204073 w 2124348"/>
              <a:gd name="connsiteY47" fmla="*/ 109500 h 757619"/>
              <a:gd name="connsiteX48" fmla="*/ 1175094 w 2124348"/>
              <a:gd name="connsiteY48" fmla="*/ 177656 h 757619"/>
              <a:gd name="connsiteX49" fmla="*/ 1203776 w 2124348"/>
              <a:gd name="connsiteY49" fmla="*/ 179781 h 757619"/>
              <a:gd name="connsiteX50" fmla="*/ 1232627 w 2124348"/>
              <a:gd name="connsiteY50" fmla="*/ 177613 h 757619"/>
              <a:gd name="connsiteX51" fmla="*/ 2018163 w 2124348"/>
              <a:gd name="connsiteY51" fmla="*/ 100789 h 757619"/>
              <a:gd name="connsiteX52" fmla="*/ 1963009 w 2124348"/>
              <a:gd name="connsiteY52" fmla="*/ 155943 h 757619"/>
              <a:gd name="connsiteX53" fmla="*/ 2018163 w 2124348"/>
              <a:gd name="connsiteY53" fmla="*/ 211096 h 757619"/>
              <a:gd name="connsiteX54" fmla="*/ 2073316 w 2124348"/>
              <a:gd name="connsiteY54" fmla="*/ 155943 h 757619"/>
              <a:gd name="connsiteX55" fmla="*/ 2018163 w 2124348"/>
              <a:gd name="connsiteY55" fmla="*/ 100789 h 757619"/>
              <a:gd name="connsiteX56" fmla="*/ 906083 w 2124348"/>
              <a:gd name="connsiteY56" fmla="*/ 95606 h 757619"/>
              <a:gd name="connsiteX57" fmla="*/ 906083 w 2124348"/>
              <a:gd name="connsiteY57" fmla="*/ 138479 h 757619"/>
              <a:gd name="connsiteX58" fmla="*/ 945642 w 2124348"/>
              <a:gd name="connsiteY58" fmla="*/ 138479 h 757619"/>
              <a:gd name="connsiteX59" fmla="*/ 973686 w 2124348"/>
              <a:gd name="connsiteY59" fmla="*/ 116129 h 757619"/>
              <a:gd name="connsiteX60" fmla="*/ 945642 w 2124348"/>
              <a:gd name="connsiteY60" fmla="*/ 95606 h 757619"/>
              <a:gd name="connsiteX61" fmla="*/ 1386998 w 2124348"/>
              <a:gd name="connsiteY61" fmla="*/ 53369 h 757619"/>
              <a:gd name="connsiteX62" fmla="*/ 1436798 w 2124348"/>
              <a:gd name="connsiteY62" fmla="*/ 53369 h 757619"/>
              <a:gd name="connsiteX63" fmla="*/ 1540604 w 2124348"/>
              <a:gd name="connsiteY63" fmla="*/ 178591 h 757619"/>
              <a:gd name="connsiteX64" fmla="*/ 1540604 w 2124348"/>
              <a:gd name="connsiteY64" fmla="*/ 53369 h 757619"/>
              <a:gd name="connsiteX65" fmla="*/ 1590403 w 2124348"/>
              <a:gd name="connsiteY65" fmla="*/ 53369 h 757619"/>
              <a:gd name="connsiteX66" fmla="*/ 1590403 w 2124348"/>
              <a:gd name="connsiteY66" fmla="*/ 258559 h 757619"/>
              <a:gd name="connsiteX67" fmla="*/ 1540604 w 2124348"/>
              <a:gd name="connsiteY67" fmla="*/ 258559 h 757619"/>
              <a:gd name="connsiteX68" fmla="*/ 1436798 w 2124348"/>
              <a:gd name="connsiteY68" fmla="*/ 132998 h 757619"/>
              <a:gd name="connsiteX69" fmla="*/ 1436798 w 2124348"/>
              <a:gd name="connsiteY69" fmla="*/ 258559 h 757619"/>
              <a:gd name="connsiteX70" fmla="*/ 1386998 w 2124348"/>
              <a:gd name="connsiteY70" fmla="*/ 258559 h 757619"/>
              <a:gd name="connsiteX71" fmla="*/ 856623 w 2124348"/>
              <a:gd name="connsiteY71" fmla="*/ 53369 h 757619"/>
              <a:gd name="connsiteX72" fmla="*/ 942625 w 2124348"/>
              <a:gd name="connsiteY72" fmla="*/ 53369 h 757619"/>
              <a:gd name="connsiteX73" fmla="*/ 1020767 w 2124348"/>
              <a:gd name="connsiteY73" fmla="*/ 109797 h 757619"/>
              <a:gd name="connsiteX74" fmla="*/ 1001433 w 2124348"/>
              <a:gd name="connsiteY74" fmla="*/ 149017 h 757619"/>
              <a:gd name="connsiteX75" fmla="*/ 1032197 w 2124348"/>
              <a:gd name="connsiteY75" fmla="*/ 198817 h 757619"/>
              <a:gd name="connsiteX76" fmla="*/ 954693 w 2124348"/>
              <a:gd name="connsiteY76" fmla="*/ 258559 h 757619"/>
              <a:gd name="connsiteX77" fmla="*/ 856623 w 2124348"/>
              <a:gd name="connsiteY77" fmla="*/ 258559 h 757619"/>
              <a:gd name="connsiteX78" fmla="*/ 1175987 w 2124348"/>
              <a:gd name="connsiteY78" fmla="*/ 53327 h 757619"/>
              <a:gd name="connsiteX79" fmla="*/ 1231225 w 2124348"/>
              <a:gd name="connsiteY79" fmla="*/ 53327 h 757619"/>
              <a:gd name="connsiteX80" fmla="*/ 1319352 w 2124348"/>
              <a:gd name="connsiteY80" fmla="*/ 258517 h 757619"/>
              <a:gd name="connsiteX81" fmla="*/ 1266535 w 2124348"/>
              <a:gd name="connsiteY81" fmla="*/ 258517 h 757619"/>
              <a:gd name="connsiteX82" fmla="*/ 1250516 w 2124348"/>
              <a:gd name="connsiteY82" fmla="*/ 220275 h 757619"/>
              <a:gd name="connsiteX83" fmla="*/ 1245757 w 2124348"/>
              <a:gd name="connsiteY83" fmla="*/ 221252 h 757619"/>
              <a:gd name="connsiteX84" fmla="*/ 1203776 w 2124348"/>
              <a:gd name="connsiteY84" fmla="*/ 224949 h 757619"/>
              <a:gd name="connsiteX85" fmla="*/ 1156950 w 2124348"/>
              <a:gd name="connsiteY85" fmla="*/ 220317 h 757619"/>
              <a:gd name="connsiteX86" fmla="*/ 1140677 w 2124348"/>
              <a:gd name="connsiteY86" fmla="*/ 258517 h 757619"/>
              <a:gd name="connsiteX87" fmla="*/ 1087180 w 2124348"/>
              <a:gd name="connsiteY87" fmla="*/ 258517 h 757619"/>
              <a:gd name="connsiteX88" fmla="*/ 1768144 w 2124348"/>
              <a:gd name="connsiteY88" fmla="*/ 49927 h 757619"/>
              <a:gd name="connsiteX89" fmla="*/ 1852702 w 2124348"/>
              <a:gd name="connsiteY89" fmla="*/ 91908 h 757619"/>
              <a:gd name="connsiteX90" fmla="*/ 1810550 w 2124348"/>
              <a:gd name="connsiteY90" fmla="*/ 120930 h 757619"/>
              <a:gd name="connsiteX91" fmla="*/ 1768144 w 2124348"/>
              <a:gd name="connsiteY91" fmla="*/ 100959 h 757619"/>
              <a:gd name="connsiteX92" fmla="*/ 1712990 w 2124348"/>
              <a:gd name="connsiteY92" fmla="*/ 156113 h 757619"/>
              <a:gd name="connsiteX93" fmla="*/ 1768144 w 2124348"/>
              <a:gd name="connsiteY93" fmla="*/ 211266 h 757619"/>
              <a:gd name="connsiteX94" fmla="*/ 1810635 w 2124348"/>
              <a:gd name="connsiteY94" fmla="*/ 191210 h 757619"/>
              <a:gd name="connsiteX95" fmla="*/ 1852787 w 2124348"/>
              <a:gd name="connsiteY95" fmla="*/ 220190 h 757619"/>
              <a:gd name="connsiteX96" fmla="*/ 1768144 w 2124348"/>
              <a:gd name="connsiteY96" fmla="*/ 262298 h 757619"/>
              <a:gd name="connsiteX97" fmla="*/ 1661959 w 2124348"/>
              <a:gd name="connsiteY97" fmla="*/ 156113 h 757619"/>
              <a:gd name="connsiteX98" fmla="*/ 1768144 w 2124348"/>
              <a:gd name="connsiteY98" fmla="*/ 49927 h 757619"/>
              <a:gd name="connsiteX99" fmla="*/ 2018163 w 2124348"/>
              <a:gd name="connsiteY99" fmla="*/ 49757 h 757619"/>
              <a:gd name="connsiteX100" fmla="*/ 2124348 w 2124348"/>
              <a:gd name="connsiteY100" fmla="*/ 155943 h 757619"/>
              <a:gd name="connsiteX101" fmla="*/ 2018163 w 2124348"/>
              <a:gd name="connsiteY101" fmla="*/ 262128 h 757619"/>
              <a:gd name="connsiteX102" fmla="*/ 1911977 w 2124348"/>
              <a:gd name="connsiteY102" fmla="*/ 155943 h 757619"/>
              <a:gd name="connsiteX103" fmla="*/ 2018163 w 2124348"/>
              <a:gd name="connsiteY103" fmla="*/ 49757 h 757619"/>
              <a:gd name="connsiteX104" fmla="*/ 299181 w 2124348"/>
              <a:gd name="connsiteY104" fmla="*/ 0 h 757619"/>
              <a:gd name="connsiteX105" fmla="*/ 598404 w 2124348"/>
              <a:gd name="connsiteY105" fmla="*/ 299181 h 757619"/>
              <a:gd name="connsiteX106" fmla="*/ 299224 w 2124348"/>
              <a:gd name="connsiteY106" fmla="*/ 598362 h 757619"/>
              <a:gd name="connsiteX107" fmla="*/ 190403 w 2124348"/>
              <a:gd name="connsiteY107" fmla="*/ 577923 h 757619"/>
              <a:gd name="connsiteX108" fmla="*/ 176509 w 2124348"/>
              <a:gd name="connsiteY108" fmla="*/ 572484 h 757619"/>
              <a:gd name="connsiteX109" fmla="*/ 176509 w 2124348"/>
              <a:gd name="connsiteY109" fmla="*/ 757619 h 757619"/>
              <a:gd name="connsiteX110" fmla="*/ 0 w 2124348"/>
              <a:gd name="connsiteY110" fmla="*/ 757619 h 757619"/>
              <a:gd name="connsiteX111" fmla="*/ 0 w 2124348"/>
              <a:gd name="connsiteY111" fmla="*/ 299181 h 757619"/>
              <a:gd name="connsiteX112" fmla="*/ 299181 w 2124348"/>
              <a:gd name="connsiteY112" fmla="*/ 0 h 75761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</a:cxnLst>
            <a:rect l="l" t="t" r="r" b="b"/>
            <a:pathLst>
              <a:path w="2124348" h="757619">
                <a:moveTo>
                  <a:pt x="1415637" y="455973"/>
                </a:moveTo>
                <a:lnTo>
                  <a:pt x="1356320" y="595557"/>
                </a:lnTo>
                <a:cubicBezTo>
                  <a:pt x="1375696" y="598404"/>
                  <a:pt x="1395284" y="599934"/>
                  <a:pt x="1415042" y="599934"/>
                </a:cubicBezTo>
                <a:cubicBezTo>
                  <a:pt x="1434843" y="599934"/>
                  <a:pt x="1454686" y="598362"/>
                  <a:pt x="1474105" y="595472"/>
                </a:cubicBezTo>
                <a:close/>
                <a:moveTo>
                  <a:pt x="957327" y="429119"/>
                </a:moveTo>
                <a:lnTo>
                  <a:pt x="957327" y="546565"/>
                </a:lnTo>
                <a:lnTo>
                  <a:pt x="1042564" y="546565"/>
                </a:lnTo>
                <a:cubicBezTo>
                  <a:pt x="1082888" y="546565"/>
                  <a:pt x="1110338" y="523109"/>
                  <a:pt x="1110338" y="487714"/>
                </a:cubicBezTo>
                <a:cubicBezTo>
                  <a:pt x="1110338" y="452319"/>
                  <a:pt x="1082846" y="429714"/>
                  <a:pt x="1042564" y="429119"/>
                </a:cubicBezTo>
                <a:close/>
                <a:moveTo>
                  <a:pt x="1358869" y="342394"/>
                </a:moveTo>
                <a:lnTo>
                  <a:pt x="1470535" y="342394"/>
                </a:lnTo>
                <a:lnTo>
                  <a:pt x="1648829" y="757576"/>
                </a:lnTo>
                <a:lnTo>
                  <a:pt x="1541963" y="757576"/>
                </a:lnTo>
                <a:lnTo>
                  <a:pt x="1509543" y="680157"/>
                </a:lnTo>
                <a:cubicBezTo>
                  <a:pt x="1506313" y="680795"/>
                  <a:pt x="1503126" y="681517"/>
                  <a:pt x="1499897" y="682112"/>
                </a:cubicBezTo>
                <a:cubicBezTo>
                  <a:pt x="1472065" y="687126"/>
                  <a:pt x="1443511" y="689633"/>
                  <a:pt x="1415000" y="689633"/>
                </a:cubicBezTo>
                <a:cubicBezTo>
                  <a:pt x="1383004" y="689633"/>
                  <a:pt x="1351305" y="686446"/>
                  <a:pt x="1320287" y="680242"/>
                </a:cubicBezTo>
                <a:lnTo>
                  <a:pt x="1287399" y="757576"/>
                </a:lnTo>
                <a:lnTo>
                  <a:pt x="1181171" y="757576"/>
                </a:lnTo>
                <a:close/>
                <a:moveTo>
                  <a:pt x="856580" y="342394"/>
                </a:moveTo>
                <a:lnTo>
                  <a:pt x="1054164" y="342394"/>
                </a:lnTo>
                <a:cubicBezTo>
                  <a:pt x="1160435" y="342394"/>
                  <a:pt x="1211679" y="411655"/>
                  <a:pt x="1211679" y="487672"/>
                </a:cubicBezTo>
                <a:cubicBezTo>
                  <a:pt x="1211679" y="563689"/>
                  <a:pt x="1159797" y="638728"/>
                  <a:pt x="1053569" y="638728"/>
                </a:cubicBezTo>
                <a:lnTo>
                  <a:pt x="957327" y="638728"/>
                </a:lnTo>
                <a:lnTo>
                  <a:pt x="957327" y="757576"/>
                </a:lnTo>
                <a:lnTo>
                  <a:pt x="856580" y="757576"/>
                </a:lnTo>
                <a:close/>
                <a:moveTo>
                  <a:pt x="1717112" y="340270"/>
                </a:moveTo>
                <a:lnTo>
                  <a:pt x="1818369" y="340270"/>
                </a:lnTo>
                <a:lnTo>
                  <a:pt x="2007157" y="594963"/>
                </a:lnTo>
                <a:lnTo>
                  <a:pt x="2007157" y="340270"/>
                </a:lnTo>
                <a:lnTo>
                  <a:pt x="2108414" y="340270"/>
                </a:lnTo>
                <a:lnTo>
                  <a:pt x="2108414" y="757619"/>
                </a:lnTo>
                <a:lnTo>
                  <a:pt x="2007157" y="757619"/>
                </a:lnTo>
                <a:lnTo>
                  <a:pt x="1818369" y="502289"/>
                </a:lnTo>
                <a:lnTo>
                  <a:pt x="1818369" y="757619"/>
                </a:lnTo>
                <a:lnTo>
                  <a:pt x="1717112" y="757619"/>
                </a:lnTo>
                <a:close/>
                <a:moveTo>
                  <a:pt x="299181" y="176424"/>
                </a:moveTo>
                <a:cubicBezTo>
                  <a:pt x="231492" y="176424"/>
                  <a:pt x="176466" y="231450"/>
                  <a:pt x="176466" y="299138"/>
                </a:cubicBezTo>
                <a:cubicBezTo>
                  <a:pt x="176466" y="366827"/>
                  <a:pt x="231492" y="421853"/>
                  <a:pt x="299181" y="421853"/>
                </a:cubicBezTo>
                <a:cubicBezTo>
                  <a:pt x="366869" y="421853"/>
                  <a:pt x="421895" y="366827"/>
                  <a:pt x="421895" y="299138"/>
                </a:cubicBezTo>
                <a:cubicBezTo>
                  <a:pt x="421895" y="231450"/>
                  <a:pt x="366869" y="176424"/>
                  <a:pt x="299181" y="176424"/>
                </a:cubicBezTo>
                <a:close/>
                <a:moveTo>
                  <a:pt x="906083" y="176211"/>
                </a:moveTo>
                <a:lnTo>
                  <a:pt x="906083" y="216026"/>
                </a:lnTo>
                <a:lnTo>
                  <a:pt x="906083" y="216068"/>
                </a:lnTo>
                <a:lnTo>
                  <a:pt x="948956" y="216068"/>
                </a:lnTo>
                <a:cubicBezTo>
                  <a:pt x="968884" y="216068"/>
                  <a:pt x="978828" y="209397"/>
                  <a:pt x="978828" y="196140"/>
                </a:cubicBezTo>
                <a:cubicBezTo>
                  <a:pt x="978828" y="181055"/>
                  <a:pt x="968587" y="176211"/>
                  <a:pt x="948956" y="176211"/>
                </a:cubicBezTo>
                <a:close/>
                <a:moveTo>
                  <a:pt x="1204073" y="109500"/>
                </a:moveTo>
                <a:lnTo>
                  <a:pt x="1175094" y="177656"/>
                </a:lnTo>
                <a:cubicBezTo>
                  <a:pt x="1184570" y="179058"/>
                  <a:pt x="1194130" y="179781"/>
                  <a:pt x="1203776" y="179781"/>
                </a:cubicBezTo>
                <a:cubicBezTo>
                  <a:pt x="1213464" y="179781"/>
                  <a:pt x="1223109" y="179016"/>
                  <a:pt x="1232627" y="177613"/>
                </a:cubicBezTo>
                <a:close/>
                <a:moveTo>
                  <a:pt x="2018163" y="100789"/>
                </a:moveTo>
                <a:cubicBezTo>
                  <a:pt x="1987739" y="100789"/>
                  <a:pt x="1963051" y="125519"/>
                  <a:pt x="1963009" y="155943"/>
                </a:cubicBezTo>
                <a:cubicBezTo>
                  <a:pt x="1963009" y="186409"/>
                  <a:pt x="1987696" y="211096"/>
                  <a:pt x="2018163" y="211096"/>
                </a:cubicBezTo>
                <a:cubicBezTo>
                  <a:pt x="2048629" y="211096"/>
                  <a:pt x="2073316" y="186409"/>
                  <a:pt x="2073316" y="155943"/>
                </a:cubicBezTo>
                <a:cubicBezTo>
                  <a:pt x="2073316" y="125519"/>
                  <a:pt x="2048586" y="100789"/>
                  <a:pt x="2018163" y="100789"/>
                </a:cubicBezTo>
                <a:close/>
                <a:moveTo>
                  <a:pt x="906083" y="95606"/>
                </a:moveTo>
                <a:lnTo>
                  <a:pt x="906083" y="138479"/>
                </a:lnTo>
                <a:lnTo>
                  <a:pt x="945642" y="138479"/>
                </a:lnTo>
                <a:cubicBezTo>
                  <a:pt x="967058" y="138479"/>
                  <a:pt x="973686" y="132105"/>
                  <a:pt x="973686" y="116129"/>
                </a:cubicBezTo>
                <a:cubicBezTo>
                  <a:pt x="973686" y="102234"/>
                  <a:pt x="964635" y="95606"/>
                  <a:pt x="945642" y="95606"/>
                </a:cubicBezTo>
                <a:close/>
                <a:moveTo>
                  <a:pt x="1386998" y="53369"/>
                </a:moveTo>
                <a:lnTo>
                  <a:pt x="1436798" y="53369"/>
                </a:lnTo>
                <a:lnTo>
                  <a:pt x="1540604" y="178591"/>
                </a:lnTo>
                <a:lnTo>
                  <a:pt x="1540604" y="53369"/>
                </a:lnTo>
                <a:lnTo>
                  <a:pt x="1590403" y="53369"/>
                </a:lnTo>
                <a:lnTo>
                  <a:pt x="1590403" y="258559"/>
                </a:lnTo>
                <a:lnTo>
                  <a:pt x="1540604" y="258559"/>
                </a:lnTo>
                <a:lnTo>
                  <a:pt x="1436798" y="132998"/>
                </a:lnTo>
                <a:lnTo>
                  <a:pt x="1436798" y="258559"/>
                </a:lnTo>
                <a:lnTo>
                  <a:pt x="1386998" y="258559"/>
                </a:lnTo>
                <a:close/>
                <a:moveTo>
                  <a:pt x="856623" y="53369"/>
                </a:moveTo>
                <a:lnTo>
                  <a:pt x="942625" y="53369"/>
                </a:lnTo>
                <a:cubicBezTo>
                  <a:pt x="1002070" y="53369"/>
                  <a:pt x="1020767" y="76909"/>
                  <a:pt x="1020767" y="109797"/>
                </a:cubicBezTo>
                <a:cubicBezTo>
                  <a:pt x="1020767" y="130915"/>
                  <a:pt x="1005980" y="145702"/>
                  <a:pt x="1001433" y="149017"/>
                </a:cubicBezTo>
                <a:cubicBezTo>
                  <a:pt x="1021319" y="159003"/>
                  <a:pt x="1032197" y="176806"/>
                  <a:pt x="1032197" y="198817"/>
                </a:cubicBezTo>
                <a:cubicBezTo>
                  <a:pt x="1032197" y="232300"/>
                  <a:pt x="1010781" y="258559"/>
                  <a:pt x="954693" y="258559"/>
                </a:cubicBezTo>
                <a:lnTo>
                  <a:pt x="856623" y="258559"/>
                </a:lnTo>
                <a:close/>
                <a:moveTo>
                  <a:pt x="1175987" y="53327"/>
                </a:moveTo>
                <a:lnTo>
                  <a:pt x="1231225" y="53327"/>
                </a:lnTo>
                <a:lnTo>
                  <a:pt x="1319352" y="258517"/>
                </a:lnTo>
                <a:lnTo>
                  <a:pt x="1266535" y="258517"/>
                </a:lnTo>
                <a:lnTo>
                  <a:pt x="1250516" y="220275"/>
                </a:lnTo>
                <a:cubicBezTo>
                  <a:pt x="1248944" y="220615"/>
                  <a:pt x="1247329" y="220955"/>
                  <a:pt x="1245757" y="221252"/>
                </a:cubicBezTo>
                <a:cubicBezTo>
                  <a:pt x="1231990" y="223717"/>
                  <a:pt x="1217841" y="224949"/>
                  <a:pt x="1203776" y="224949"/>
                </a:cubicBezTo>
                <a:cubicBezTo>
                  <a:pt x="1187927" y="224949"/>
                  <a:pt x="1172290" y="223376"/>
                  <a:pt x="1156950" y="220317"/>
                </a:cubicBezTo>
                <a:lnTo>
                  <a:pt x="1140677" y="258517"/>
                </a:lnTo>
                <a:lnTo>
                  <a:pt x="1087180" y="258517"/>
                </a:lnTo>
                <a:close/>
                <a:moveTo>
                  <a:pt x="1768144" y="49927"/>
                </a:moveTo>
                <a:cubicBezTo>
                  <a:pt x="1802647" y="49927"/>
                  <a:pt x="1833326" y="66371"/>
                  <a:pt x="1852702" y="91908"/>
                </a:cubicBezTo>
                <a:lnTo>
                  <a:pt x="1810550" y="120930"/>
                </a:lnTo>
                <a:cubicBezTo>
                  <a:pt x="1800480" y="108735"/>
                  <a:pt x="1785183" y="100959"/>
                  <a:pt x="1768144" y="100959"/>
                </a:cubicBezTo>
                <a:cubicBezTo>
                  <a:pt x="1737678" y="100959"/>
                  <a:pt x="1712990" y="125689"/>
                  <a:pt x="1712990" y="156113"/>
                </a:cubicBezTo>
                <a:cubicBezTo>
                  <a:pt x="1712990" y="186579"/>
                  <a:pt x="1737721" y="211266"/>
                  <a:pt x="1768144" y="211266"/>
                </a:cubicBezTo>
                <a:cubicBezTo>
                  <a:pt x="1785268" y="211266"/>
                  <a:pt x="1800565" y="203448"/>
                  <a:pt x="1810635" y="191210"/>
                </a:cubicBezTo>
                <a:lnTo>
                  <a:pt x="1852787" y="220190"/>
                </a:lnTo>
                <a:cubicBezTo>
                  <a:pt x="1833411" y="245812"/>
                  <a:pt x="1802690" y="262298"/>
                  <a:pt x="1768144" y="262298"/>
                </a:cubicBezTo>
                <a:cubicBezTo>
                  <a:pt x="1709464" y="262298"/>
                  <a:pt x="1661959" y="214751"/>
                  <a:pt x="1661959" y="156113"/>
                </a:cubicBezTo>
                <a:cubicBezTo>
                  <a:pt x="1661959" y="97475"/>
                  <a:pt x="1709506" y="49927"/>
                  <a:pt x="1768144" y="49927"/>
                </a:cubicBezTo>
                <a:close/>
                <a:moveTo>
                  <a:pt x="2018163" y="49757"/>
                </a:moveTo>
                <a:cubicBezTo>
                  <a:pt x="2076800" y="49757"/>
                  <a:pt x="2124348" y="97305"/>
                  <a:pt x="2124348" y="155943"/>
                </a:cubicBezTo>
                <a:cubicBezTo>
                  <a:pt x="2124348" y="214581"/>
                  <a:pt x="2076800" y="262128"/>
                  <a:pt x="2018163" y="262128"/>
                </a:cubicBezTo>
                <a:cubicBezTo>
                  <a:pt x="1959525" y="262128"/>
                  <a:pt x="1912019" y="214581"/>
                  <a:pt x="1911977" y="155943"/>
                </a:cubicBezTo>
                <a:cubicBezTo>
                  <a:pt x="1911977" y="97305"/>
                  <a:pt x="1959525" y="49757"/>
                  <a:pt x="2018163" y="49757"/>
                </a:cubicBezTo>
                <a:close/>
                <a:moveTo>
                  <a:pt x="299181" y="0"/>
                </a:moveTo>
                <a:cubicBezTo>
                  <a:pt x="464174" y="0"/>
                  <a:pt x="598362" y="134188"/>
                  <a:pt x="598404" y="299181"/>
                </a:cubicBezTo>
                <a:cubicBezTo>
                  <a:pt x="598404" y="464174"/>
                  <a:pt x="464217" y="598362"/>
                  <a:pt x="299224" y="598362"/>
                </a:cubicBezTo>
                <a:cubicBezTo>
                  <a:pt x="261704" y="598362"/>
                  <a:pt x="225119" y="591478"/>
                  <a:pt x="190403" y="577923"/>
                </a:cubicBezTo>
                <a:lnTo>
                  <a:pt x="176509" y="572484"/>
                </a:lnTo>
                <a:lnTo>
                  <a:pt x="176509" y="757619"/>
                </a:lnTo>
                <a:lnTo>
                  <a:pt x="0" y="757619"/>
                </a:lnTo>
                <a:lnTo>
                  <a:pt x="0" y="299181"/>
                </a:lnTo>
                <a:cubicBezTo>
                  <a:pt x="0" y="134188"/>
                  <a:pt x="134188" y="0"/>
                  <a:pt x="299181" y="0"/>
                </a:cubicBez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A360E-8063-46E5-BFC6-60F94E652B53}" name="Tabela2" displayName="Tabela2" ref="B3:D25" totalsRowShown="0">
  <autoFilter ref="B3:D25" xr:uid="{D5DA360E-8063-46E5-BFC6-60F94E652B53}"/>
  <tableColumns count="3">
    <tableColumn id="1" xr3:uid="{388165D1-F069-4CF8-AA1C-14CB95B489DE}" name="Nível 3" dataDxfId="46"/>
    <tableColumn id="2" xr3:uid="{C88D0FDE-E23D-4B22-BBCD-DDA84625A46D}" name="Nível 2" dataDxfId="45"/>
    <tableColumn id="3" xr3:uid="{7A05F443-75BC-42FB-AE80-DD8C33586BEC}" name="Nível 1" dataDxfId="4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1EDA47-6DAA-4C62-B230-8D93F8C03F42}" name="Tabela24" displayName="Tabela24" ref="F3:F9" totalsRowShown="0">
  <autoFilter ref="F3:F9" xr:uid="{FB1EDA47-6DAA-4C62-B230-8D93F8C03F42}"/>
  <tableColumns count="1">
    <tableColumn id="1" xr3:uid="{E2BDA764-D7EF-4AD7-A84A-9CEBE16418B4}" name="Razão Social" dataDxfId="43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F696CC-22DC-48FB-877A-68FFC3D2DA72}" name="Tabela4" displayName="Tabela4" ref="H18:H22" totalsRowShown="0" headerRowDxfId="42" dataDxfId="41">
  <autoFilter ref="H18:H22" xr:uid="{A9F696CC-22DC-48FB-877A-68FFC3D2DA72}"/>
  <tableColumns count="1">
    <tableColumn id="1" xr3:uid="{72CF1B1F-B044-4951-BFDF-5063CC6838E9}" name="Lista Pagamentos" dataDxfId="40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F6D6A1-FB75-4E73-B683-284E7FA2FC48}" name="Tabela46" displayName="Tabela46" ref="H3:H6" totalsRowShown="0" headerRowDxfId="39" dataDxfId="38">
  <autoFilter ref="H3:H6" xr:uid="{ACF6D6A1-FB75-4E73-B683-284E7FA2FC48}"/>
  <tableColumns count="1">
    <tableColumn id="1" xr3:uid="{3A171748-E149-4DA0-B3DE-28D0051B0589}" name="Lista de Comprovantes" dataDxfId="37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160F3E-6772-4C8B-A93B-DC0CBBF60C56}" name="Tabela467" displayName="Tabela467" ref="H11:H13" totalsRowShown="0" headerRowDxfId="36" dataDxfId="35">
  <autoFilter ref="H11:H13" xr:uid="{66160F3E-6772-4C8B-A93B-DC0CBBF60C56}"/>
  <tableColumns count="1">
    <tableColumn id="1" xr3:uid="{9F282B0A-0D82-403F-9CB7-6ABD745CCDEF}" name="Tipos" dataDxfId="34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201846-D192-4F21-87B5-07D498FBF852}" name="Tabela8" displayName="Tabela8" ref="B38:D61" totalsRowShown="0" headerRowDxfId="33" dataDxfId="32">
  <autoFilter ref="B38:D61" xr:uid="{E0201846-D192-4F21-87B5-07D498FBF852}"/>
  <tableColumns count="3">
    <tableColumn id="1" xr3:uid="{D338842B-749B-4133-8D95-D090B97BE234}" name="PRODUTO" dataDxfId="31"/>
    <tableColumn id="2" xr3:uid="{842631AE-9CCE-41BA-8707-535A3E897685}" name="CC" dataDxfId="30"/>
    <tableColumn id="3" xr3:uid="{78F1856A-77A9-4183-80FC-1F4E4EB9376C}" name="Produtos - Simples" dataDxfId="29">
      <calculatedColumnFormula>SUBSTITUTE(Tabela8[[#This Row],[PRODUTO]],"JURÍDICO - ","")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EDB575A-DB1F-4FEE-A99A-7D11D7C78DA2}" name="Tabela9" displayName="Tabela9" ref="F13:F25" totalsRowShown="0" headerRowDxfId="28" dataDxfId="27">
  <autoFilter ref="F13:F25" xr:uid="{9EDB575A-DB1F-4FEE-A99A-7D11D7C78DA2}"/>
  <tableColumns count="1">
    <tableColumn id="1" xr3:uid="{F1F859B1-320B-418B-BA79-50A9FC873FA4}" name="Natureza" dataDxfId="26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139687-D75F-406D-9491-2D531B657FD2}" name="Tabela4611" displayName="Tabela4611" ref="K3:L34" totalsRowShown="0" headerRowDxfId="25" dataDxfId="24">
  <autoFilter ref="K3:L34" xr:uid="{7F139687-D75F-406D-9491-2D531B657FD2}"/>
  <tableColumns count="2">
    <tableColumn id="1" xr3:uid="{3392E351-E686-4B5A-A692-4CB328CA626E}" name="ID" dataDxfId="23"/>
    <tableColumn id="2" xr3:uid="{FD4B70C3-68FC-437E-822C-1292DC14AD50}" name="UF" dataDxfId="22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DE59F9-00F1-42DE-911B-1F7C6D98B82A}" name="Tabela1" displayName="Tabela1" ref="A2:AB100" totalsRowShown="0" headerRowDxfId="76" dataDxfId="75">
  <tableColumns count="28">
    <tableColumn id="50" xr3:uid="{BF647690-6AF0-4F15-A4C0-4A7551A57875}" name="Coluna1" dataDxfId="74"/>
    <tableColumn id="3" xr3:uid="{1A315709-AA3B-402F-9850-E7E72C289F23}" name="ID do  Caso" dataDxfId="73" dataCellStyle="Moeda"/>
    <tableColumn id="11" xr3:uid="{9CE8E2CC-45C3-4597-BD82-787D6C240AD8}" name="Data da Despesa" dataDxfId="72" dataCellStyle="Moeda"/>
    <tableColumn id="12" xr3:uid="{E9FBBA74-7CEA-4AC5-ACE4-1081CF4BD3D0}" name="R$ Valor" dataDxfId="71" dataCellStyle="Moeda"/>
    <tableColumn id="41" xr3:uid="{888DBCEC-9AE0-471D-B191-013B74A8D61F}" name="Nº Guia" dataDxfId="70" dataCellStyle="Moeda"/>
    <tableColumn id="28" xr3:uid="{CD07FDF8-BBDA-47F2-9E8F-2DF434110666}" name="Nível 3 - Despesa" dataDxfId="69" dataCellStyle="Moeda"/>
    <tableColumn id="29" xr3:uid="{4875088D-E113-49F3-A662-8CD132737D17}" name="Complemento" dataDxfId="68" dataCellStyle="Moeda"/>
    <tableColumn id="27" xr3:uid="{1169FC66-2C2A-41C0-A3B3-DE455B44CECB}" name="Tipo de Comprovante" dataDxfId="67" dataCellStyle="Moeda"/>
    <tableColumn id="30" xr3:uid="{B505CABD-C11D-4468-BE3D-32DCFE0B545D}" name="Forma de Pagamento" dataDxfId="66" dataCellStyle="Moeda"/>
    <tableColumn id="47" xr3:uid="{B9C331EA-0977-45DB-BC4B-4867937A5045}" name="ID da Evidência" dataDxfId="65" dataCellStyle="Moeda"/>
    <tableColumn id="31" xr3:uid="{39F0AA9A-DD18-45B5-953F-311CAE796299}" name="Produto" dataDxfId="64" dataCellStyle="Moeda"/>
    <tableColumn id="10" xr3:uid="{89EC360A-D341-4552-87E1-A7D67B49180F}" name="Natureza " dataDxfId="63" dataCellStyle="Moeda"/>
    <tableColumn id="26" xr3:uid="{763537A3-61EF-4481-98E2-C241EC11EFFA}" name="Nº Processo" dataDxfId="62" dataCellStyle="Moeda"/>
    <tableColumn id="4" xr3:uid="{65B0EC35-1E1E-4494-802C-25D41E52D785}" name="Autor" dataDxfId="61" dataCellStyle="Moeda"/>
    <tableColumn id="5" xr3:uid="{205D65C3-FA6E-4F90-8767-D51335B3FBE4}" name="Réu" dataDxfId="60" dataCellStyle="Moeda"/>
    <tableColumn id="18" xr3:uid="{7525A6B6-59DB-4BA3-B373-22323DFC3090}" name="Empresa Pagadora" dataDxfId="59" dataCellStyle="Moeda"/>
    <tableColumn id="32" xr3:uid="{83DBB49F-54E5-4922-AE2E-3E8D10F695A7}" name="Observação" dataDxfId="58"/>
    <tableColumn id="42" xr3:uid="{629DC94E-0A47-4119-8DC8-8EE523262520}" name="Validação" dataDxfId="57"/>
    <tableColumn id="43" xr3:uid="{5F051E22-867B-4B2A-BBCC-F5084FEC0BF6}" name="Range de Pagamento" dataDxfId="56"/>
    <tableColumn id="44" xr3:uid="{22817516-1219-4234-8729-2CFF3AF90A1A}" name="Duplicidade na solicitação" dataDxfId="55"/>
    <tableColumn id="45" xr3:uid="{DB7561C2-D88B-425F-A3C2-73E9463E6390}" name="Campos Não Preenchidos" dataDxfId="54"/>
    <tableColumn id="52" xr3:uid="{4D6B147E-951A-4D27-8AE8-9ACCCAF9D0FB}" name="Centro de Custo" dataDxfId="53"/>
    <tableColumn id="33" xr3:uid="{A1D6B8B4-84BC-4626-8D04-52410A58B7A9}" name="Escritório" dataDxfId="52"/>
    <tableColumn id="34" xr3:uid="{B01FC90B-760E-4F52-A9EF-09FB7558B3C5}" name="CNPJ" dataDxfId="51"/>
    <tableColumn id="35" xr3:uid="{09D7E4AD-776F-41DC-8BBA-675E0815097C}" name="Data da Solicitação" dataDxfId="50"/>
    <tableColumn id="36" xr3:uid="{130F042C-976E-41CF-AB1B-C1C0C0C5D624}" name="Nº Nota ou Recibo" dataDxfId="49"/>
    <tableColumn id="37" xr3:uid="{8895672E-0091-4DB7-BC34-F46D11FBEA2D}" name="N° planilha de pagamentos do PANJUR" dataDxfId="48"/>
    <tableColumn id="38" xr3:uid="{9DC6D598-0327-4357-8208-4FDD842EE3BB}" name="Tipo" dataDxfId="47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33A914-350E-4720-B9A8-9BFE5D4AF776}" name="Tabela7" displayName="Tabela7" ref="B4:C13" totalsRowCount="1" headerRowDxfId="21" dataDxfId="20">
  <autoFilter ref="B4:C12" xr:uid="{D733A914-350E-4720-B9A8-9BFE5D4AF776}"/>
  <tableColumns count="2">
    <tableColumn id="1" xr3:uid="{518B3B22-2937-4D1C-9847-808249C5936D}" name="Cabeçaho" dataDxfId="19" totalsRowDxfId="18"/>
    <tableColumn id="2" xr3:uid="{EC377F8C-5FCB-41CF-8B7C-31F9B60C5D11}" name="Informação" dataDxfId="17" totalsRow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E880F-6F36-4D5A-9F9D-8903B6F6C737}">
  <sheetPr codeName="Planilha1"/>
  <dimension ref="A1:L61"/>
  <sheetViews>
    <sheetView showGridLines="0" topLeftCell="A2" zoomScale="130" zoomScaleNormal="130" workbookViewId="0">
      <selection activeCell="B26" sqref="B26"/>
    </sheetView>
  </sheetViews>
  <sheetFormatPr defaultRowHeight="15" x14ac:dyDescent="0.25"/>
  <cols>
    <col min="1" max="1" width="1.42578125" style="1" customWidth="1"/>
    <col min="2" max="2" width="38.28515625" style="4" customWidth="1"/>
    <col min="3" max="3" width="27.28515625" style="4" hidden="1" customWidth="1"/>
    <col min="4" max="4" width="22.28515625" style="1" hidden="1" customWidth="1"/>
    <col min="5" max="5" width="1.28515625" style="1" hidden="1" customWidth="1"/>
    <col min="6" max="6" width="47.7109375" style="1" hidden="1" customWidth="1"/>
    <col min="7" max="7" width="1" style="1" hidden="1" customWidth="1"/>
    <col min="8" max="8" width="29.5703125" hidden="1" customWidth="1"/>
    <col min="9" max="9" width="1.28515625" hidden="1" customWidth="1"/>
    <col min="10" max="10" width="4.5703125" hidden="1" customWidth="1"/>
    <col min="11" max="11" width="18.28515625" hidden="1" customWidth="1"/>
    <col min="12" max="12" width="0" hidden="1" customWidth="1"/>
  </cols>
  <sheetData>
    <row r="1" spans="2:12" ht="7.15" customHeight="1" x14ac:dyDescent="0.25"/>
    <row r="2" spans="2:12" x14ac:dyDescent="0.25">
      <c r="B2" s="5" t="s">
        <v>0</v>
      </c>
      <c r="C2" s="5"/>
      <c r="D2" s="6"/>
      <c r="F2" s="5" t="s">
        <v>1</v>
      </c>
      <c r="H2" s="5" t="s">
        <v>2</v>
      </c>
      <c r="K2" s="108" t="s">
        <v>2</v>
      </c>
      <c r="L2" s="108"/>
    </row>
    <row r="3" spans="2:12" x14ac:dyDescent="0.25">
      <c r="B3" s="4" t="s">
        <v>3</v>
      </c>
      <c r="C3" s="4" t="s">
        <v>4</v>
      </c>
      <c r="D3" s="3" t="s">
        <v>5</v>
      </c>
      <c r="F3" s="4" t="s">
        <v>6</v>
      </c>
      <c r="H3" s="4" t="s">
        <v>7</v>
      </c>
      <c r="K3" s="4" t="s">
        <v>8</v>
      </c>
      <c r="L3" s="4" t="s">
        <v>9</v>
      </c>
    </row>
    <row r="4" spans="2:12" x14ac:dyDescent="0.25">
      <c r="B4" s="4" t="s">
        <v>10</v>
      </c>
      <c r="C4" s="4" t="s">
        <v>11</v>
      </c>
      <c r="D4" s="1" t="s">
        <v>12</v>
      </c>
      <c r="F4" s="4" t="s">
        <v>13</v>
      </c>
      <c r="H4" s="4" t="s">
        <v>14</v>
      </c>
      <c r="K4" s="4" t="s">
        <v>15</v>
      </c>
      <c r="L4" s="1"/>
    </row>
    <row r="5" spans="2:12" x14ac:dyDescent="0.25">
      <c r="B5" s="4" t="s">
        <v>16</v>
      </c>
      <c r="C5" s="4" t="s">
        <v>11</v>
      </c>
      <c r="D5" s="1" t="s">
        <v>12</v>
      </c>
      <c r="F5" s="4" t="s">
        <v>17</v>
      </c>
      <c r="H5" s="4" t="s">
        <v>18</v>
      </c>
      <c r="K5" s="4" t="s">
        <v>19</v>
      </c>
      <c r="L5" s="1"/>
    </row>
    <row r="6" spans="2:12" x14ac:dyDescent="0.25">
      <c r="B6" s="4" t="s">
        <v>20</v>
      </c>
      <c r="C6" s="4" t="s">
        <v>11</v>
      </c>
      <c r="D6" s="1" t="s">
        <v>12</v>
      </c>
      <c r="F6" s="4" t="s">
        <v>21</v>
      </c>
      <c r="H6" s="4" t="s">
        <v>22</v>
      </c>
      <c r="K6" s="4" t="s">
        <v>23</v>
      </c>
      <c r="L6" s="1"/>
    </row>
    <row r="7" spans="2:12" x14ac:dyDescent="0.25">
      <c r="B7" s="4" t="s">
        <v>24</v>
      </c>
      <c r="C7" s="4" t="s">
        <v>11</v>
      </c>
      <c r="D7" s="1" t="s">
        <v>12</v>
      </c>
      <c r="F7" s="4" t="s">
        <v>25</v>
      </c>
      <c r="H7" s="1"/>
      <c r="K7" s="4" t="s">
        <v>26</v>
      </c>
      <c r="L7" s="1"/>
    </row>
    <row r="8" spans="2:12" x14ac:dyDescent="0.25">
      <c r="B8" s="4" t="s">
        <v>27</v>
      </c>
      <c r="C8" s="4" t="s">
        <v>11</v>
      </c>
      <c r="D8" s="1" t="s">
        <v>12</v>
      </c>
      <c r="F8" s="4" t="s">
        <v>28</v>
      </c>
      <c r="H8" s="1"/>
      <c r="K8" s="4" t="s">
        <v>29</v>
      </c>
      <c r="L8" s="1"/>
    </row>
    <row r="9" spans="2:12" x14ac:dyDescent="0.25">
      <c r="B9" s="4" t="s">
        <v>30</v>
      </c>
      <c r="C9" s="4" t="s">
        <v>31</v>
      </c>
      <c r="D9" s="1" t="s">
        <v>12</v>
      </c>
      <c r="F9" s="4" t="s">
        <v>32</v>
      </c>
      <c r="H9" s="1"/>
      <c r="K9" s="4" t="s">
        <v>33</v>
      </c>
      <c r="L9" s="1"/>
    </row>
    <row r="10" spans="2:12" x14ac:dyDescent="0.25">
      <c r="B10" s="4" t="s">
        <v>34</v>
      </c>
      <c r="C10" s="4" t="s">
        <v>31</v>
      </c>
      <c r="D10" s="1" t="s">
        <v>12</v>
      </c>
      <c r="F10" s="4"/>
      <c r="H10" s="5" t="s">
        <v>35</v>
      </c>
      <c r="K10" s="4" t="s">
        <v>36</v>
      </c>
      <c r="L10" s="1"/>
    </row>
    <row r="11" spans="2:12" x14ac:dyDescent="0.25">
      <c r="B11" s="4" t="s">
        <v>37</v>
      </c>
      <c r="C11" s="4" t="s">
        <v>31</v>
      </c>
      <c r="D11" s="1" t="s">
        <v>12</v>
      </c>
      <c r="F11" s="4"/>
      <c r="H11" s="4" t="s">
        <v>38</v>
      </c>
      <c r="K11" s="4" t="s">
        <v>39</v>
      </c>
      <c r="L11" s="1"/>
    </row>
    <row r="12" spans="2:12" x14ac:dyDescent="0.25">
      <c r="B12" s="4" t="s">
        <v>40</v>
      </c>
      <c r="D12" s="1" t="s">
        <v>12</v>
      </c>
      <c r="F12" s="5" t="s">
        <v>41</v>
      </c>
      <c r="H12" s="4" t="s">
        <v>42</v>
      </c>
      <c r="K12" s="4" t="s">
        <v>43</v>
      </c>
      <c r="L12" s="1"/>
    </row>
    <row r="13" spans="2:12" x14ac:dyDescent="0.25">
      <c r="B13" s="4" t="s">
        <v>44</v>
      </c>
      <c r="D13" s="1" t="s">
        <v>12</v>
      </c>
      <c r="F13" s="1" t="s">
        <v>45</v>
      </c>
      <c r="H13" s="4"/>
      <c r="K13" s="4" t="s">
        <v>46</v>
      </c>
      <c r="L13" s="1"/>
    </row>
    <row r="14" spans="2:12" x14ac:dyDescent="0.25">
      <c r="B14" s="4" t="s">
        <v>47</v>
      </c>
      <c r="D14" s="1" t="s">
        <v>48</v>
      </c>
      <c r="F14" s="1" t="s">
        <v>49</v>
      </c>
      <c r="H14" s="4"/>
      <c r="K14" s="4" t="s">
        <v>50</v>
      </c>
      <c r="L14" s="1"/>
    </row>
    <row r="15" spans="2:12" x14ac:dyDescent="0.25">
      <c r="B15" s="4" t="s">
        <v>51</v>
      </c>
      <c r="D15" s="1" t="s">
        <v>48</v>
      </c>
      <c r="F15" s="1" t="s">
        <v>52</v>
      </c>
      <c r="H15" s="1"/>
      <c r="K15" s="4" t="s">
        <v>53</v>
      </c>
      <c r="L15" s="1"/>
    </row>
    <row r="16" spans="2:12" x14ac:dyDescent="0.25">
      <c r="B16" s="4" t="s">
        <v>54</v>
      </c>
      <c r="D16" s="1" t="s">
        <v>48</v>
      </c>
      <c r="F16" s="1" t="s">
        <v>55</v>
      </c>
      <c r="K16" s="4" t="s">
        <v>56</v>
      </c>
      <c r="L16" s="1"/>
    </row>
    <row r="17" spans="2:12" x14ac:dyDescent="0.25">
      <c r="B17" s="4" t="s">
        <v>57</v>
      </c>
      <c r="C17" s="4" t="s">
        <v>58</v>
      </c>
      <c r="D17" s="1" t="s">
        <v>59</v>
      </c>
      <c r="F17" s="1" t="s">
        <v>60</v>
      </c>
      <c r="H17" s="5" t="s">
        <v>61</v>
      </c>
      <c r="K17" s="4" t="s">
        <v>62</v>
      </c>
      <c r="L17" s="1"/>
    </row>
    <row r="18" spans="2:12" x14ac:dyDescent="0.25">
      <c r="B18" s="4" t="s">
        <v>63</v>
      </c>
      <c r="C18" s="4" t="s">
        <v>58</v>
      </c>
      <c r="D18" s="1" t="s">
        <v>12</v>
      </c>
      <c r="F18" s="1" t="s">
        <v>64</v>
      </c>
      <c r="H18" s="4" t="s">
        <v>65</v>
      </c>
      <c r="K18" s="4" t="s">
        <v>66</v>
      </c>
      <c r="L18" s="1"/>
    </row>
    <row r="19" spans="2:12" x14ac:dyDescent="0.25">
      <c r="B19" s="4" t="s">
        <v>67</v>
      </c>
      <c r="D19" s="1" t="s">
        <v>12</v>
      </c>
      <c r="F19" s="1" t="s">
        <v>68</v>
      </c>
      <c r="H19" s="4" t="s">
        <v>69</v>
      </c>
      <c r="K19" s="4" t="s">
        <v>70</v>
      </c>
      <c r="L19" s="1"/>
    </row>
    <row r="20" spans="2:12" x14ac:dyDescent="0.25">
      <c r="B20" s="4" t="s">
        <v>71</v>
      </c>
      <c r="C20" s="4" t="s">
        <v>58</v>
      </c>
      <c r="D20" s="1" t="s">
        <v>12</v>
      </c>
      <c r="F20" s="1" t="s">
        <v>72</v>
      </c>
      <c r="H20" s="4" t="s">
        <v>73</v>
      </c>
      <c r="K20" s="4" t="s">
        <v>74</v>
      </c>
      <c r="L20" s="1"/>
    </row>
    <row r="21" spans="2:12" x14ac:dyDescent="0.25">
      <c r="B21" s="4" t="s">
        <v>75</v>
      </c>
      <c r="D21" s="1" t="s">
        <v>12</v>
      </c>
      <c r="F21" s="1" t="s">
        <v>76</v>
      </c>
      <c r="H21" s="4" t="s">
        <v>77</v>
      </c>
      <c r="K21" s="4" t="s">
        <v>78</v>
      </c>
      <c r="L21" s="1"/>
    </row>
    <row r="22" spans="2:12" x14ac:dyDescent="0.25">
      <c r="B22" s="4" t="s">
        <v>79</v>
      </c>
      <c r="D22" s="1" t="s">
        <v>12</v>
      </c>
      <c r="F22" s="1" t="s">
        <v>80</v>
      </c>
      <c r="H22" s="1" t="s">
        <v>81</v>
      </c>
      <c r="K22" s="4" t="s">
        <v>82</v>
      </c>
      <c r="L22" s="1"/>
    </row>
    <row r="23" spans="2:12" x14ac:dyDescent="0.25">
      <c r="B23" s="4" t="s">
        <v>83</v>
      </c>
      <c r="D23" s="1" t="s">
        <v>12</v>
      </c>
      <c r="F23" s="1" t="s">
        <v>84</v>
      </c>
      <c r="K23" s="4" t="s">
        <v>85</v>
      </c>
      <c r="L23" s="1"/>
    </row>
    <row r="24" spans="2:12" x14ac:dyDescent="0.25">
      <c r="B24" s="4" t="s">
        <v>86</v>
      </c>
      <c r="D24" s="1" t="s">
        <v>87</v>
      </c>
      <c r="F24" s="1" t="s">
        <v>88</v>
      </c>
      <c r="K24" s="4" t="s">
        <v>89</v>
      </c>
      <c r="L24" s="1"/>
    </row>
    <row r="25" spans="2:12" x14ac:dyDescent="0.25">
      <c r="B25" s="60" t="s">
        <v>90</v>
      </c>
      <c r="F25" s="1" t="s">
        <v>91</v>
      </c>
      <c r="K25" s="4" t="s">
        <v>92</v>
      </c>
      <c r="L25" s="1"/>
    </row>
    <row r="26" spans="2:12" x14ac:dyDescent="0.25">
      <c r="K26" s="4" t="s">
        <v>93</v>
      </c>
      <c r="L26" s="1"/>
    </row>
    <row r="27" spans="2:12" x14ac:dyDescent="0.25">
      <c r="K27" s="4" t="s">
        <v>94</v>
      </c>
      <c r="L27" s="1"/>
    </row>
    <row r="28" spans="2:12" x14ac:dyDescent="0.25">
      <c r="K28" s="4" t="s">
        <v>95</v>
      </c>
      <c r="L28" s="1"/>
    </row>
    <row r="29" spans="2:12" x14ac:dyDescent="0.25">
      <c r="K29" s="4" t="s">
        <v>96</v>
      </c>
      <c r="L29" s="1"/>
    </row>
    <row r="30" spans="2:12" x14ac:dyDescent="0.25">
      <c r="K30" s="4" t="s">
        <v>97</v>
      </c>
      <c r="L30" s="1"/>
    </row>
    <row r="31" spans="2:12" x14ac:dyDescent="0.25">
      <c r="K31" s="4" t="s">
        <v>98</v>
      </c>
      <c r="L31" s="1"/>
    </row>
    <row r="32" spans="2:12" x14ac:dyDescent="0.25">
      <c r="K32" s="4" t="s">
        <v>99</v>
      </c>
      <c r="L32" s="1"/>
    </row>
    <row r="33" spans="2:12" x14ac:dyDescent="0.25">
      <c r="K33" s="4" t="s">
        <v>100</v>
      </c>
      <c r="L33" s="1"/>
    </row>
    <row r="34" spans="2:12" x14ac:dyDescent="0.25">
      <c r="K34" s="1"/>
      <c r="L34" s="1"/>
    </row>
    <row r="37" spans="2:12" x14ac:dyDescent="0.25">
      <c r="B37" s="5" t="s">
        <v>101</v>
      </c>
      <c r="C37" s="5"/>
      <c r="D37" s="5"/>
    </row>
    <row r="38" spans="2:12" x14ac:dyDescent="0.25">
      <c r="B38" s="4" t="s">
        <v>102</v>
      </c>
      <c r="C38" s="4" t="s">
        <v>103</v>
      </c>
      <c r="D38" s="4" t="s">
        <v>104</v>
      </c>
    </row>
    <row r="39" spans="2:12" x14ac:dyDescent="0.25">
      <c r="B39" s="4" t="s">
        <v>105</v>
      </c>
      <c r="C39" s="4">
        <v>15600</v>
      </c>
      <c r="D39" s="4" t="str">
        <f>SUBSTITUTE(Tabela8[[#This Row],[PRODUTO]],"JURÍDICO - ","")</f>
        <v>AUTOPAN</v>
      </c>
    </row>
    <row r="40" spans="2:12" x14ac:dyDescent="0.25">
      <c r="B40" s="4" t="s">
        <v>106</v>
      </c>
      <c r="C40" s="4">
        <v>15601</v>
      </c>
      <c r="D40" s="4" t="str">
        <f>SUBSTITUTE(Tabela8[[#This Row],[PRODUTO]],"JURÍDICO - ","")</f>
        <v>BALCÃO</v>
      </c>
    </row>
    <row r="41" spans="2:12" x14ac:dyDescent="0.25">
      <c r="B41" s="4" t="s">
        <v>107</v>
      </c>
      <c r="C41" s="4">
        <v>15602</v>
      </c>
      <c r="D41" s="4" t="str">
        <f>SUBSTITUTE(Tabela8[[#This Row],[PRODUTO]],"JURÍDICO - ","")</f>
        <v>CARTÕES</v>
      </c>
    </row>
    <row r="42" spans="2:12" x14ac:dyDescent="0.25">
      <c r="B42" s="4" t="s">
        <v>108</v>
      </c>
      <c r="C42" s="4">
        <v>15603</v>
      </c>
      <c r="D42" s="4" t="str">
        <f>SUBSTITUTE(Tabela8[[#This Row],[PRODUTO]],"JURÍDICO - ","")</f>
        <v>CDC</v>
      </c>
    </row>
    <row r="43" spans="2:12" x14ac:dyDescent="0.25">
      <c r="B43" s="4" t="s">
        <v>109</v>
      </c>
      <c r="C43" s="4">
        <v>15604</v>
      </c>
      <c r="D43" s="4" t="str">
        <f>SUBSTITUTE(Tabela8[[#This Row],[PRODUTO]],"JURÍDICO - ","")</f>
        <v>CONSIGNADO INSS</v>
      </c>
    </row>
    <row r="44" spans="2:12" x14ac:dyDescent="0.25">
      <c r="B44" s="4" t="s">
        <v>110</v>
      </c>
      <c r="C44" s="4">
        <v>15605</v>
      </c>
      <c r="D44" s="4" t="str">
        <f>SUBSTITUTE(Tabela8[[#This Row],[PRODUTO]],"JURÍDICO - ","")</f>
        <v>CONSIGNADO PÚBLICO</v>
      </c>
    </row>
    <row r="45" spans="2:12" x14ac:dyDescent="0.25">
      <c r="B45" s="4" t="s">
        <v>111</v>
      </c>
      <c r="C45" s="4">
        <v>15606</v>
      </c>
      <c r="D45" s="4" t="str">
        <f>SUBSTITUTE(Tabela8[[#This Row],[PRODUTO]],"JURÍDICO - ","")</f>
        <v>CONSÓRCIO</v>
      </c>
    </row>
    <row r="46" spans="2:12" x14ac:dyDescent="0.25">
      <c r="B46" s="4" t="s">
        <v>112</v>
      </c>
      <c r="C46" s="4">
        <v>15607</v>
      </c>
      <c r="D46" s="4" t="str">
        <f>SUBSTITUTE(Tabela8[[#This Row],[PRODUTO]],"JURÍDICO - ","")</f>
        <v>EMPRESAS</v>
      </c>
    </row>
    <row r="47" spans="2:12" x14ac:dyDescent="0.25">
      <c r="B47" s="4" t="s">
        <v>113</v>
      </c>
      <c r="C47" s="4">
        <v>15608</v>
      </c>
      <c r="D47" s="4" t="str">
        <f>SUBSTITUTE(Tabela8[[#This Row],[PRODUTO]],"JURÍDICO - ","")</f>
        <v>MOTOS</v>
      </c>
    </row>
    <row r="48" spans="2:12" x14ac:dyDescent="0.25">
      <c r="B48" s="4" t="s">
        <v>114</v>
      </c>
      <c r="C48" s="4">
        <v>15609</v>
      </c>
      <c r="D48" s="4" t="str">
        <f>SUBSTITUTE(Tabela8[[#This Row],[PRODUTO]],"JURÍDICO - ","")</f>
        <v>VEÍCULOS LEVES</v>
      </c>
    </row>
    <row r="49" spans="2:4" x14ac:dyDescent="0.25">
      <c r="B49" s="4" t="s">
        <v>115</v>
      </c>
      <c r="C49" s="4">
        <v>15610</v>
      </c>
      <c r="D49" s="4" t="str">
        <f>SUBSTITUTE(Tabela8[[#This Row],[PRODUTO]],"JURÍDICO - ","")</f>
        <v>VEÍCULOS NOVOS</v>
      </c>
    </row>
    <row r="50" spans="2:4" x14ac:dyDescent="0.25">
      <c r="B50" s="4" t="s">
        <v>116</v>
      </c>
      <c r="C50" s="4">
        <v>15611</v>
      </c>
      <c r="D50" s="4" t="str">
        <f>SUBSTITUTE(Tabela8[[#This Row],[PRODUTO]],"JURÍDICO - ","")</f>
        <v>VEÍCULOS PESADOS</v>
      </c>
    </row>
    <row r="51" spans="2:4" x14ac:dyDescent="0.25">
      <c r="B51" s="4" t="s">
        <v>117</v>
      </c>
      <c r="C51" s="4">
        <v>15612</v>
      </c>
      <c r="D51" s="4" t="str">
        <f>SUBSTITUTE(Tabela8[[#This Row],[PRODUTO]],"JURÍDICO - ","")</f>
        <v>CARTÃO CONSIGNADO</v>
      </c>
    </row>
    <row r="52" spans="2:4" x14ac:dyDescent="0.25">
      <c r="B52" s="4" t="s">
        <v>118</v>
      </c>
      <c r="C52" s="4">
        <v>15613</v>
      </c>
      <c r="D52" s="4" t="str">
        <f>SUBSTITUTE(Tabela8[[#This Row],[PRODUTO]],"JURÍDICO - ","")</f>
        <v>IMOBILIÁRIO PF</v>
      </c>
    </row>
    <row r="53" spans="2:4" x14ac:dyDescent="0.25">
      <c r="B53" s="4" t="s">
        <v>119</v>
      </c>
      <c r="C53" s="4">
        <v>15614</v>
      </c>
      <c r="D53" s="4" t="str">
        <f>SUBSTITUTE(Tabela8[[#This Row],[PRODUTO]],"JURÍDICO - ","")</f>
        <v>IMOBILIÁRIO PJ</v>
      </c>
    </row>
    <row r="54" spans="2:4" x14ac:dyDescent="0.25">
      <c r="B54" s="4" t="s">
        <v>120</v>
      </c>
      <c r="C54" s="4">
        <v>15615</v>
      </c>
      <c r="D54" s="4" t="str">
        <f>SUBSTITUTE(Tabela8[[#This Row],[PRODUTO]],"JURÍDICO - ","")</f>
        <v>IMOBILIÁRIO BS</v>
      </c>
    </row>
    <row r="55" spans="2:4" x14ac:dyDescent="0.25">
      <c r="B55" s="4" t="s">
        <v>121</v>
      </c>
      <c r="C55" s="4">
        <v>15616</v>
      </c>
      <c r="D55" s="4" t="str">
        <f>SUBSTITUTE(Tabela8[[#This Row],[PRODUTO]],"JURÍDICO - ","")</f>
        <v>INSTITUCIONAL</v>
      </c>
    </row>
    <row r="56" spans="2:4" x14ac:dyDescent="0.25">
      <c r="B56" s="4" t="s">
        <v>122</v>
      </c>
      <c r="C56" s="4">
        <v>15618</v>
      </c>
      <c r="D56" s="4" t="str">
        <f>SUBSTITUTE(Tabela8[[#This Row],[PRODUTO]],"JURÍDICO - ","")</f>
        <v>IMOBILIÁRIO BS - SERIES</v>
      </c>
    </row>
    <row r="57" spans="2:4" x14ac:dyDescent="0.25">
      <c r="B57" s="4" t="s">
        <v>123</v>
      </c>
      <c r="C57" s="4">
        <v>15621</v>
      </c>
      <c r="D57" s="4" t="str">
        <f>SUBSTITUTE(Tabela8[[#This Row],[PRODUTO]],"JURÍDICO - ","")</f>
        <v>CRÉDITO PESSOAL</v>
      </c>
    </row>
    <row r="58" spans="2:4" x14ac:dyDescent="0.25">
      <c r="B58" s="4" t="s">
        <v>124</v>
      </c>
      <c r="C58" s="4">
        <v>15622</v>
      </c>
      <c r="D58" s="4" t="str">
        <f>SUBSTITUTE(Tabela8[[#This Row],[PRODUTO]],"JURÍDICO - ","")</f>
        <v>CORRETORA</v>
      </c>
    </row>
    <row r="59" spans="2:4" x14ac:dyDescent="0.25">
      <c r="B59" s="4" t="s">
        <v>125</v>
      </c>
      <c r="C59" s="4">
        <v>15623</v>
      </c>
      <c r="D59" s="4" t="str">
        <f>SUBSTITUTE(Tabela8[[#This Row],[PRODUTO]],"JURÍDICO - ","")</f>
        <v>PAGUE PAN</v>
      </c>
    </row>
    <row r="60" spans="2:4" x14ac:dyDescent="0.25">
      <c r="B60" s="4" t="s">
        <v>126</v>
      </c>
      <c r="C60" s="4">
        <v>15624</v>
      </c>
      <c r="D60" s="4" t="str">
        <f>SUBSTITUTE(Tabela8[[#This Row],[PRODUTO]],"JURÍDICO - ","")</f>
        <v>SEGUROS</v>
      </c>
    </row>
    <row r="61" spans="2:4" x14ac:dyDescent="0.25">
      <c r="B61" s="4" t="s">
        <v>127</v>
      </c>
      <c r="C61" s="4">
        <v>15616</v>
      </c>
      <c r="D61" s="4" t="str">
        <f>SUBSTITUTE(Tabela8[[#This Row],[PRODUTO]],"JURÍDICO - ","")</f>
        <v>OUTROS</v>
      </c>
    </row>
  </sheetData>
  <sheetProtection selectLockedCells="1" selectUnlockedCells="1"/>
  <mergeCells count="1">
    <mergeCell ref="K2:L2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CD87-B4D5-4C86-BD93-E6AC55771BA4}">
  <sheetPr codeName="Planilha2"/>
  <dimension ref="A1:TL300"/>
  <sheetViews>
    <sheetView showGridLines="0" tabSelected="1" topLeftCell="A86" zoomScale="80" zoomScaleNormal="80" workbookViewId="0">
      <selection activeCell="A100" sqref="A100:AB100"/>
    </sheetView>
  </sheetViews>
  <sheetFormatPr defaultRowHeight="16.899999999999999" customHeight="1" x14ac:dyDescent="0.25"/>
  <cols>
    <col min="1" max="1" width="8" customWidth="1"/>
    <col min="2" max="2" width="57.140625" style="12" bestFit="1" customWidth="1"/>
    <col min="3" max="3" width="14" style="12" bestFit="1" customWidth="1"/>
    <col min="4" max="4" width="14.140625" style="12" customWidth="1"/>
    <col min="5" max="5" width="19.5703125" style="103" bestFit="1" customWidth="1"/>
    <col min="6" max="6" width="23.42578125" style="12" customWidth="1"/>
    <col min="7" max="7" width="24.140625" style="12" customWidth="1"/>
    <col min="8" max="8" width="28.85546875" style="12" customWidth="1"/>
    <col min="9" max="9" width="19.140625" style="12" customWidth="1"/>
    <col min="10" max="10" width="21" style="12" bestFit="1" customWidth="1"/>
    <col min="11" max="11" width="23.140625" style="12" bestFit="1" customWidth="1"/>
    <col min="12" max="12" width="14.85546875" style="12" bestFit="1" customWidth="1"/>
    <col min="13" max="13" width="28.5703125" style="12" bestFit="1" customWidth="1"/>
    <col min="14" max="14" width="52.42578125" style="12" bestFit="1" customWidth="1"/>
    <col min="15" max="15" width="16.28515625" style="13" bestFit="1" customWidth="1"/>
    <col min="16" max="16" width="14.85546875" style="13" bestFit="1" customWidth="1"/>
    <col min="17" max="17" width="69.5703125" style="12" customWidth="1"/>
    <col min="18" max="18" width="15.28515625" bestFit="1" customWidth="1"/>
    <col min="19" max="19" width="17" bestFit="1" customWidth="1"/>
    <col min="20" max="20" width="20.5703125" bestFit="1" customWidth="1"/>
    <col min="21" max="21" width="18.42578125" bestFit="1" customWidth="1"/>
    <col min="22" max="22" width="22.140625" style="65" bestFit="1" customWidth="1"/>
    <col min="23" max="23" width="40.7109375" bestFit="1" customWidth="1"/>
    <col min="24" max="24" width="19.85546875" style="8" bestFit="1" customWidth="1"/>
    <col min="25" max="25" width="16.42578125" style="8" bestFit="1" customWidth="1"/>
    <col min="26" max="26" width="17" style="8" bestFit="1" customWidth="1"/>
    <col min="27" max="27" width="30" style="8" bestFit="1" customWidth="1"/>
    <col min="28" max="28" width="10.5703125" style="8" bestFit="1" customWidth="1"/>
    <col min="29" max="29" width="26.28515625" customWidth="1"/>
    <col min="30" max="30" width="20.28515625" customWidth="1"/>
    <col min="31" max="31" width="22" customWidth="1"/>
    <col min="32" max="33" width="8.7109375" customWidth="1"/>
    <col min="34" max="34" width="21.28515625" customWidth="1"/>
  </cols>
  <sheetData>
    <row r="1" spans="1:48" s="54" customFormat="1" ht="23.25" customHeight="1" x14ac:dyDescent="0.3">
      <c r="A1" s="48"/>
      <c r="B1" s="49" t="s">
        <v>128</v>
      </c>
      <c r="C1" s="50"/>
      <c r="D1" s="50"/>
      <c r="E1" s="98"/>
      <c r="F1" s="50"/>
      <c r="G1" s="83"/>
      <c r="H1" s="50"/>
      <c r="I1" s="50"/>
      <c r="J1" s="50"/>
      <c r="K1" s="50"/>
      <c r="L1" s="50"/>
      <c r="M1" s="50"/>
      <c r="N1" s="50"/>
      <c r="O1" s="51"/>
      <c r="P1" s="51"/>
      <c r="Q1" s="50"/>
      <c r="R1" s="50"/>
      <c r="S1" s="50"/>
      <c r="T1" s="50"/>
      <c r="U1" s="50"/>
      <c r="V1" s="64"/>
      <c r="W1" s="50"/>
      <c r="X1" s="52"/>
      <c r="Y1" s="53"/>
      <c r="Z1" s="52"/>
      <c r="AA1" s="51"/>
      <c r="AB1" s="51"/>
      <c r="AC1" s="50"/>
      <c r="AD1" s="50"/>
      <c r="AE1" s="50"/>
      <c r="AF1" s="50"/>
      <c r="AG1" s="48"/>
      <c r="AH1" s="52"/>
      <c r="AI1" s="52"/>
      <c r="AJ1" s="52"/>
      <c r="AK1" s="52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</row>
    <row r="2" spans="1:48" s="11" customFormat="1" ht="39" customHeight="1" x14ac:dyDescent="0.25">
      <c r="A2" s="40" t="s">
        <v>129</v>
      </c>
      <c r="B2" s="37" t="s">
        <v>130</v>
      </c>
      <c r="C2" s="37" t="s">
        <v>131</v>
      </c>
      <c r="D2" s="37" t="s">
        <v>132</v>
      </c>
      <c r="E2" s="99" t="s">
        <v>133</v>
      </c>
      <c r="F2" s="37" t="s">
        <v>134</v>
      </c>
      <c r="G2" s="84" t="s">
        <v>135</v>
      </c>
      <c r="H2" s="37" t="s">
        <v>136</v>
      </c>
      <c r="I2" s="37" t="s">
        <v>137</v>
      </c>
      <c r="J2" s="37" t="s">
        <v>138</v>
      </c>
      <c r="K2" s="37" t="s">
        <v>139</v>
      </c>
      <c r="L2" s="37" t="s">
        <v>140</v>
      </c>
      <c r="M2" s="37" t="s">
        <v>141</v>
      </c>
      <c r="N2" s="38" t="s">
        <v>142</v>
      </c>
      <c r="O2" s="38" t="s">
        <v>143</v>
      </c>
      <c r="P2" s="38" t="s">
        <v>144</v>
      </c>
      <c r="Q2" s="37" t="s">
        <v>145</v>
      </c>
      <c r="R2" s="39" t="s">
        <v>146</v>
      </c>
      <c r="S2" s="39" t="s">
        <v>147</v>
      </c>
      <c r="T2" s="39" t="s">
        <v>148</v>
      </c>
      <c r="U2" s="39" t="s">
        <v>149</v>
      </c>
      <c r="V2" s="42" t="s">
        <v>150</v>
      </c>
      <c r="W2" s="41" t="s">
        <v>151</v>
      </c>
      <c r="X2" s="42" t="s">
        <v>152</v>
      </c>
      <c r="Y2" s="42" t="s">
        <v>153</v>
      </c>
      <c r="Z2" s="42" t="s">
        <v>154</v>
      </c>
      <c r="AA2" s="42" t="s">
        <v>155</v>
      </c>
      <c r="AB2" s="42" t="s">
        <v>156</v>
      </c>
    </row>
    <row r="3" spans="1:48" ht="15" x14ac:dyDescent="0.25">
      <c r="A3" s="66"/>
      <c r="B3" s="77"/>
      <c r="C3" s="63"/>
      <c r="D3" s="67"/>
      <c r="E3" s="87"/>
      <c r="F3" s="61"/>
      <c r="G3" s="61"/>
      <c r="H3" s="61"/>
      <c r="I3" s="61"/>
      <c r="J3" s="62"/>
      <c r="K3" s="61"/>
      <c r="L3" s="61"/>
      <c r="M3" s="62"/>
      <c r="N3" s="104"/>
      <c r="O3" s="61"/>
      <c r="P3" s="61"/>
      <c r="Q3" s="72"/>
      <c r="R3" s="68"/>
      <c r="S3" s="68"/>
      <c r="T3" s="68"/>
      <c r="U3" s="68"/>
      <c r="V3" s="68"/>
      <c r="W3" s="69" t="s">
        <v>157</v>
      </c>
      <c r="X3" s="68" t="s">
        <v>158</v>
      </c>
      <c r="Y3" s="70"/>
      <c r="Z3" s="68"/>
      <c r="AA3" s="68"/>
      <c r="AB3" s="68"/>
    </row>
    <row r="4" spans="1:48" ht="15" x14ac:dyDescent="0.25">
      <c r="A4" s="66"/>
      <c r="B4" s="77"/>
      <c r="C4" s="63"/>
      <c r="D4" s="67"/>
      <c r="E4" s="100"/>
      <c r="F4" s="61"/>
      <c r="G4" s="61"/>
      <c r="H4" s="61"/>
      <c r="I4" s="61"/>
      <c r="J4" s="62"/>
      <c r="K4" s="61"/>
      <c r="L4" s="61"/>
      <c r="M4" s="62"/>
      <c r="N4" s="104"/>
      <c r="O4" s="61"/>
      <c r="P4" s="61"/>
      <c r="Q4" s="72"/>
      <c r="R4" s="68"/>
      <c r="S4" s="68"/>
      <c r="T4" s="68"/>
      <c r="U4" s="68"/>
      <c r="V4" s="68"/>
      <c r="W4" s="69" t="s">
        <v>157</v>
      </c>
      <c r="X4" s="68" t="s">
        <v>158</v>
      </c>
      <c r="Y4" s="70"/>
      <c r="Z4" s="68"/>
      <c r="AA4" s="68"/>
      <c r="AB4" s="68"/>
    </row>
    <row r="5" spans="1:48" ht="16.899999999999999" customHeight="1" x14ac:dyDescent="0.25">
      <c r="A5" s="66"/>
      <c r="B5" s="77"/>
      <c r="C5" s="63"/>
      <c r="D5" s="67"/>
      <c r="E5" s="100"/>
      <c r="F5" s="61"/>
      <c r="G5" s="61"/>
      <c r="H5" s="61"/>
      <c r="I5" s="61"/>
      <c r="J5" s="62"/>
      <c r="K5" s="61"/>
      <c r="L5" s="61"/>
      <c r="M5" s="62"/>
      <c r="N5" s="104"/>
      <c r="O5" s="61"/>
      <c r="P5" s="61"/>
      <c r="Q5" s="72"/>
      <c r="R5" s="68"/>
      <c r="S5" s="68"/>
      <c r="T5" s="68"/>
      <c r="U5" s="68"/>
      <c r="V5" s="68"/>
      <c r="W5" s="69" t="s">
        <v>157</v>
      </c>
      <c r="X5" s="68" t="s">
        <v>158</v>
      </c>
      <c r="Y5" s="70"/>
      <c r="Z5" s="68"/>
      <c r="AA5" s="68"/>
      <c r="AB5" s="68"/>
    </row>
    <row r="6" spans="1:48" s="82" customFormat="1" ht="16.899999999999999" customHeight="1" x14ac:dyDescent="0.25">
      <c r="A6" s="66"/>
      <c r="B6" s="77"/>
      <c r="C6" s="63"/>
      <c r="D6" s="67"/>
      <c r="E6" s="100"/>
      <c r="F6" s="61"/>
      <c r="G6" s="61"/>
      <c r="H6" s="61"/>
      <c r="I6" s="61"/>
      <c r="J6" s="62"/>
      <c r="K6" s="61"/>
      <c r="L6" s="61"/>
      <c r="M6" s="62"/>
      <c r="N6" s="104"/>
      <c r="O6" s="61"/>
      <c r="P6" s="61"/>
      <c r="Q6" s="72"/>
      <c r="R6" s="68"/>
      <c r="S6" s="68"/>
      <c r="T6" s="68"/>
      <c r="U6" s="68"/>
      <c r="V6" s="68"/>
      <c r="W6" s="69" t="s">
        <v>157</v>
      </c>
      <c r="X6" s="68" t="s">
        <v>158</v>
      </c>
      <c r="Y6" s="70"/>
      <c r="Z6" s="68"/>
      <c r="AA6" s="68"/>
      <c r="AB6" s="68"/>
    </row>
    <row r="7" spans="1:48" s="82" customFormat="1" ht="16.899999999999999" customHeight="1" x14ac:dyDescent="0.25">
      <c r="A7" s="66"/>
      <c r="B7" s="77"/>
      <c r="C7" s="63"/>
      <c r="D7" s="67"/>
      <c r="E7" s="87"/>
      <c r="F7" s="61"/>
      <c r="G7" s="61"/>
      <c r="H7" s="61"/>
      <c r="I7" s="61"/>
      <c r="J7" s="86"/>
      <c r="K7" s="61"/>
      <c r="L7" s="61"/>
      <c r="M7" s="62"/>
      <c r="N7" s="104"/>
      <c r="O7" s="61"/>
      <c r="P7" s="61"/>
      <c r="Q7" s="73"/>
      <c r="R7" s="68"/>
      <c r="S7" s="68"/>
      <c r="T7" s="68"/>
      <c r="U7" s="68"/>
      <c r="V7" s="68"/>
      <c r="W7" s="69" t="s">
        <v>157</v>
      </c>
      <c r="X7" s="68" t="s">
        <v>158</v>
      </c>
      <c r="Y7" s="70"/>
      <c r="Z7" s="68"/>
      <c r="AA7" s="68"/>
      <c r="AB7" s="68"/>
    </row>
    <row r="8" spans="1:48" s="82" customFormat="1" ht="16.899999999999999" customHeight="1" x14ac:dyDescent="0.25">
      <c r="A8" s="74"/>
      <c r="B8" s="77"/>
      <c r="C8" s="75"/>
      <c r="D8" s="76"/>
      <c r="E8" s="107"/>
      <c r="F8" s="61"/>
      <c r="G8" s="61"/>
      <c r="H8" s="61"/>
      <c r="I8" s="61"/>
      <c r="J8" s="86"/>
      <c r="K8" s="61"/>
      <c r="L8" s="61"/>
      <c r="M8" s="79"/>
      <c r="N8" s="104"/>
      <c r="O8" s="61"/>
      <c r="P8" s="61"/>
      <c r="Q8" s="80"/>
      <c r="R8" s="81"/>
      <c r="S8" s="81"/>
      <c r="T8" s="81"/>
      <c r="U8" s="81"/>
      <c r="V8" s="81"/>
      <c r="W8" s="69" t="s">
        <v>157</v>
      </c>
      <c r="X8" s="68" t="s">
        <v>158</v>
      </c>
      <c r="Y8" s="70"/>
      <c r="Z8" s="68"/>
      <c r="AA8" s="81"/>
      <c r="AB8" s="81"/>
    </row>
    <row r="9" spans="1:48" s="82" customFormat="1" ht="16.5" customHeight="1" x14ac:dyDescent="0.25">
      <c r="A9" s="66"/>
      <c r="B9" s="77"/>
      <c r="C9" s="63"/>
      <c r="D9" s="67"/>
      <c r="E9" s="87"/>
      <c r="F9" s="61"/>
      <c r="G9" s="61"/>
      <c r="H9" s="61"/>
      <c r="I9" s="61"/>
      <c r="J9" s="86"/>
      <c r="K9" s="61"/>
      <c r="L9" s="61"/>
      <c r="M9" s="62"/>
      <c r="N9" s="104"/>
      <c r="O9" s="61"/>
      <c r="P9" s="61"/>
      <c r="Q9" s="73"/>
      <c r="R9" s="68"/>
      <c r="S9" s="68"/>
      <c r="T9" s="68"/>
      <c r="U9" s="68"/>
      <c r="V9" s="68"/>
      <c r="W9" s="69" t="s">
        <v>157</v>
      </c>
      <c r="X9" s="68" t="s">
        <v>158</v>
      </c>
      <c r="Y9" s="70"/>
      <c r="Z9" s="68"/>
      <c r="AA9" s="68"/>
      <c r="AB9" s="68"/>
    </row>
    <row r="10" spans="1:48" s="82" customFormat="1" ht="16.899999999999999" customHeight="1" x14ac:dyDescent="0.25">
      <c r="A10" s="66"/>
      <c r="B10" s="77"/>
      <c r="C10" s="63"/>
      <c r="D10" s="67"/>
      <c r="E10" s="107"/>
      <c r="F10" s="61"/>
      <c r="G10" s="61"/>
      <c r="H10" s="61"/>
      <c r="I10" s="61"/>
      <c r="J10" s="86"/>
      <c r="K10" s="61"/>
      <c r="L10" s="61"/>
      <c r="M10" s="62"/>
      <c r="N10" s="104"/>
      <c r="O10" s="61"/>
      <c r="P10" s="61"/>
      <c r="Q10" s="73"/>
      <c r="R10" s="68"/>
      <c r="S10" s="68"/>
      <c r="T10" s="68"/>
      <c r="U10" s="68"/>
      <c r="V10" s="68"/>
      <c r="W10" s="69" t="s">
        <v>157</v>
      </c>
      <c r="X10" s="68" t="s">
        <v>158</v>
      </c>
      <c r="Y10" s="70"/>
      <c r="Z10" s="68"/>
      <c r="AA10" s="68"/>
      <c r="AB10" s="68"/>
    </row>
    <row r="11" spans="1:48" s="97" customFormat="1" ht="16.149999999999999" customHeight="1" x14ac:dyDescent="0.25">
      <c r="A11" s="66"/>
      <c r="B11" s="77"/>
      <c r="C11" s="63"/>
      <c r="D11" s="67"/>
      <c r="E11" s="107"/>
      <c r="F11" s="61"/>
      <c r="G11" s="61"/>
      <c r="H11" s="61"/>
      <c r="I11" s="61"/>
      <c r="J11" s="86"/>
      <c r="K11" s="61"/>
      <c r="L11" s="61"/>
      <c r="M11" s="62"/>
      <c r="N11" s="104"/>
      <c r="O11" s="61"/>
      <c r="P11" s="61"/>
      <c r="Q11" s="73"/>
      <c r="R11" s="68"/>
      <c r="S11" s="68"/>
      <c r="T11" s="68"/>
      <c r="U11" s="68"/>
      <c r="V11" s="68"/>
      <c r="W11" s="69" t="s">
        <v>157</v>
      </c>
      <c r="X11" s="68" t="s">
        <v>158</v>
      </c>
      <c r="Y11" s="70"/>
      <c r="Z11" s="68"/>
      <c r="AA11" s="68"/>
      <c r="AB11" s="68"/>
    </row>
    <row r="12" spans="1:48" s="82" customFormat="1" ht="16.899999999999999" customHeight="1" x14ac:dyDescent="0.25">
      <c r="A12" s="74"/>
      <c r="B12" s="77"/>
      <c r="C12" s="75"/>
      <c r="D12" s="76"/>
      <c r="E12" s="101"/>
      <c r="F12" s="61"/>
      <c r="G12" s="61"/>
      <c r="H12" s="61"/>
      <c r="I12" s="79"/>
      <c r="J12" s="62"/>
      <c r="K12" s="61"/>
      <c r="L12" s="61"/>
      <c r="M12" s="79"/>
      <c r="N12" s="104"/>
      <c r="O12" s="61"/>
      <c r="P12" s="61"/>
      <c r="Q12" s="80"/>
      <c r="R12" s="81"/>
      <c r="S12" s="81"/>
      <c r="T12" s="81"/>
      <c r="U12" s="81"/>
      <c r="V12" s="81"/>
      <c r="W12" s="69" t="s">
        <v>157</v>
      </c>
      <c r="X12" s="68" t="s">
        <v>158</v>
      </c>
      <c r="Y12" s="70"/>
      <c r="Z12" s="68"/>
      <c r="AA12" s="81"/>
      <c r="AB12" s="81"/>
    </row>
    <row r="13" spans="1:48" s="82" customFormat="1" ht="16.899999999999999" customHeight="1" x14ac:dyDescent="0.25">
      <c r="A13" s="66"/>
      <c r="B13" s="71"/>
      <c r="C13" s="63"/>
      <c r="D13" s="67"/>
      <c r="E13" s="100"/>
      <c r="F13" s="61"/>
      <c r="G13" s="61"/>
      <c r="H13" s="61"/>
      <c r="I13" s="61"/>
      <c r="J13" s="62"/>
      <c r="K13" s="61"/>
      <c r="L13" s="61"/>
      <c r="M13" s="62"/>
      <c r="N13" s="104"/>
      <c r="O13" s="61"/>
      <c r="P13" s="61"/>
      <c r="Q13" s="73"/>
      <c r="R13" s="68"/>
      <c r="S13" s="68"/>
      <c r="T13" s="68"/>
      <c r="U13" s="68"/>
      <c r="V13" s="68"/>
      <c r="W13" s="69" t="s">
        <v>157</v>
      </c>
      <c r="X13" s="68" t="s">
        <v>158</v>
      </c>
      <c r="Y13" s="70"/>
      <c r="Z13" s="68"/>
      <c r="AA13" s="68"/>
      <c r="AB13" s="68"/>
    </row>
    <row r="14" spans="1:48" s="82" customFormat="1" ht="16.899999999999999" customHeight="1" x14ac:dyDescent="0.25">
      <c r="A14" s="66"/>
      <c r="B14" s="77"/>
      <c r="C14" s="63"/>
      <c r="D14" s="67"/>
      <c r="E14" s="101"/>
      <c r="F14" s="61"/>
      <c r="G14" s="61"/>
      <c r="H14" s="61"/>
      <c r="I14" s="61"/>
      <c r="J14" s="62"/>
      <c r="K14" s="61"/>
      <c r="L14" s="61"/>
      <c r="M14" s="62"/>
      <c r="N14" s="104"/>
      <c r="O14" s="61"/>
      <c r="P14" s="61"/>
      <c r="Q14" s="73"/>
      <c r="R14" s="68"/>
      <c r="S14" s="68"/>
      <c r="T14" s="68"/>
      <c r="U14" s="68"/>
      <c r="V14" s="68"/>
      <c r="W14" s="69" t="s">
        <v>157</v>
      </c>
      <c r="X14" s="68" t="s">
        <v>158</v>
      </c>
      <c r="Y14" s="70"/>
      <c r="Z14" s="68"/>
      <c r="AA14" s="68"/>
      <c r="AB14" s="68"/>
    </row>
    <row r="15" spans="1:48" s="82" customFormat="1" ht="16.899999999999999" customHeight="1" x14ac:dyDescent="0.25">
      <c r="A15" s="74"/>
      <c r="B15" s="77"/>
      <c r="C15" s="75"/>
      <c r="D15" s="67"/>
      <c r="E15" s="101"/>
      <c r="F15" s="61"/>
      <c r="G15" s="61"/>
      <c r="H15" s="61"/>
      <c r="I15" s="78"/>
      <c r="J15" s="62"/>
      <c r="K15" s="61"/>
      <c r="L15" s="61"/>
      <c r="M15" s="79"/>
      <c r="N15" s="104"/>
      <c r="O15" s="61"/>
      <c r="P15" s="61"/>
      <c r="Q15" s="80"/>
      <c r="R15" s="81"/>
      <c r="S15" s="81"/>
      <c r="T15" s="81"/>
      <c r="U15" s="81"/>
      <c r="V15" s="81"/>
      <c r="W15" s="69" t="s">
        <v>157</v>
      </c>
      <c r="X15" s="68" t="s">
        <v>158</v>
      </c>
      <c r="Y15" s="70"/>
      <c r="Z15" s="68"/>
      <c r="AA15" s="81"/>
      <c r="AB15" s="81"/>
    </row>
    <row r="16" spans="1:48" s="82" customFormat="1" ht="16.899999999999999" customHeight="1" x14ac:dyDescent="0.25">
      <c r="A16" s="74"/>
      <c r="B16" s="77"/>
      <c r="C16" s="75"/>
      <c r="D16" s="76"/>
      <c r="E16" s="101"/>
      <c r="F16" s="61"/>
      <c r="G16" s="61"/>
      <c r="H16" s="61"/>
      <c r="I16" s="78"/>
      <c r="J16" s="62"/>
      <c r="K16" s="61"/>
      <c r="L16" s="61"/>
      <c r="M16" s="79"/>
      <c r="N16" s="104"/>
      <c r="O16" s="61"/>
      <c r="P16" s="61"/>
      <c r="Q16" s="80"/>
      <c r="R16" s="81"/>
      <c r="S16" s="81"/>
      <c r="T16" s="81"/>
      <c r="U16" s="81"/>
      <c r="V16" s="81"/>
      <c r="W16" s="69" t="s">
        <v>157</v>
      </c>
      <c r="X16" s="68" t="s">
        <v>158</v>
      </c>
      <c r="Y16" s="70"/>
      <c r="Z16" s="68"/>
      <c r="AA16" s="81"/>
      <c r="AB16" s="81"/>
    </row>
    <row r="17" spans="1:532" s="82" customFormat="1" ht="16.899999999999999" customHeight="1" x14ac:dyDescent="0.25">
      <c r="A17" s="66"/>
      <c r="B17" s="77"/>
      <c r="C17" s="63"/>
      <c r="D17" s="67"/>
      <c r="E17" s="100"/>
      <c r="F17" s="61"/>
      <c r="G17" s="61"/>
      <c r="H17" s="61"/>
      <c r="I17" s="61"/>
      <c r="J17" s="62"/>
      <c r="K17" s="61"/>
      <c r="L17" s="61"/>
      <c r="M17" s="62"/>
      <c r="N17" s="104"/>
      <c r="O17" s="61"/>
      <c r="P17" s="61"/>
      <c r="Q17" s="73"/>
      <c r="R17" s="68"/>
      <c r="S17" s="68"/>
      <c r="T17" s="68"/>
      <c r="U17" s="68"/>
      <c r="V17" s="68"/>
      <c r="W17" s="69" t="s">
        <v>157</v>
      </c>
      <c r="X17" s="68" t="s">
        <v>158</v>
      </c>
      <c r="Y17" s="70"/>
      <c r="Z17" s="68"/>
      <c r="AA17" s="68"/>
      <c r="AB17" s="68"/>
    </row>
    <row r="18" spans="1:532" s="96" customFormat="1" ht="16.899999999999999" customHeight="1" x14ac:dyDescent="0.25">
      <c r="A18" s="74"/>
      <c r="B18" s="77"/>
      <c r="C18" s="75"/>
      <c r="D18" s="76"/>
      <c r="E18" s="101"/>
      <c r="F18" s="78"/>
      <c r="G18" s="61"/>
      <c r="H18" s="61"/>
      <c r="I18" s="78"/>
      <c r="J18" s="62"/>
      <c r="K18" s="61"/>
      <c r="L18" s="61"/>
      <c r="M18" s="79"/>
      <c r="N18" s="104"/>
      <c r="O18" s="61"/>
      <c r="P18" s="61"/>
      <c r="Q18" s="80"/>
      <c r="R18" s="81"/>
      <c r="S18" s="81"/>
      <c r="T18" s="81"/>
      <c r="U18" s="81"/>
      <c r="V18" s="81"/>
      <c r="W18" s="69" t="s">
        <v>157</v>
      </c>
      <c r="X18" s="68" t="s">
        <v>158</v>
      </c>
      <c r="Y18" s="70"/>
      <c r="Z18" s="68"/>
      <c r="AA18" s="81"/>
      <c r="AB18" s="81"/>
    </row>
    <row r="19" spans="1:532" s="82" customFormat="1" ht="16.899999999999999" customHeight="1" x14ac:dyDescent="0.25">
      <c r="A19" s="88"/>
      <c r="B19" s="89"/>
      <c r="C19" s="90"/>
      <c r="D19" s="91"/>
      <c r="E19" s="102"/>
      <c r="F19" s="92"/>
      <c r="G19" s="92"/>
      <c r="H19" s="61"/>
      <c r="I19" s="92"/>
      <c r="J19" s="93"/>
      <c r="K19" s="105"/>
      <c r="L19" s="105"/>
      <c r="M19" s="93"/>
      <c r="N19" s="104"/>
      <c r="O19" s="61"/>
      <c r="P19" s="61"/>
      <c r="Q19" s="94"/>
      <c r="R19" s="95"/>
      <c r="S19" s="95"/>
      <c r="T19" s="95"/>
      <c r="U19" s="95"/>
      <c r="V19" s="95"/>
      <c r="W19" s="69" t="s">
        <v>157</v>
      </c>
      <c r="X19" s="68" t="s">
        <v>158</v>
      </c>
      <c r="Y19" s="70"/>
      <c r="Z19" s="68"/>
      <c r="AA19" s="95"/>
      <c r="AB19" s="95"/>
    </row>
    <row r="20" spans="1:532" ht="16.899999999999999" customHeight="1" x14ac:dyDescent="0.25">
      <c r="A20" s="66"/>
      <c r="B20" s="77"/>
      <c r="C20" s="63"/>
      <c r="D20" s="67"/>
      <c r="E20" s="100"/>
      <c r="F20" s="61"/>
      <c r="G20" s="61"/>
      <c r="H20" s="61"/>
      <c r="I20" s="61"/>
      <c r="J20" s="62"/>
      <c r="K20" s="61"/>
      <c r="L20" s="61"/>
      <c r="M20" s="62"/>
      <c r="N20" s="104"/>
      <c r="O20" s="61"/>
      <c r="P20" s="61"/>
      <c r="Q20" s="94"/>
      <c r="R20" s="95"/>
      <c r="S20" s="95"/>
      <c r="T20" s="95"/>
      <c r="U20" s="95"/>
      <c r="V20" s="95"/>
      <c r="W20" s="69" t="s">
        <v>157</v>
      </c>
      <c r="X20" s="68" t="s">
        <v>158</v>
      </c>
      <c r="Y20" s="70"/>
      <c r="Z20" s="68"/>
      <c r="AA20" s="95"/>
      <c r="AB20" s="95"/>
    </row>
    <row r="21" spans="1:532" ht="16.899999999999999" customHeight="1" x14ac:dyDescent="0.25">
      <c r="A21" s="66"/>
      <c r="B21" s="77"/>
      <c r="C21" s="63"/>
      <c r="D21" s="67"/>
      <c r="E21" s="100"/>
      <c r="F21" s="61"/>
      <c r="G21" s="61"/>
      <c r="H21" s="61"/>
      <c r="I21" s="61"/>
      <c r="J21" s="62"/>
      <c r="K21" s="61"/>
      <c r="L21" s="61"/>
      <c r="M21" s="62"/>
      <c r="N21" s="104"/>
      <c r="O21" s="61"/>
      <c r="P21" s="61"/>
      <c r="Q21" s="94"/>
      <c r="R21" s="95"/>
      <c r="S21" s="95"/>
      <c r="T21" s="95"/>
      <c r="U21" s="95"/>
      <c r="V21" s="95"/>
      <c r="W21" s="69" t="s">
        <v>157</v>
      </c>
      <c r="X21" s="68" t="s">
        <v>158</v>
      </c>
      <c r="Y21" s="70"/>
      <c r="Z21" s="68"/>
      <c r="AA21" s="95"/>
      <c r="AB21" s="95"/>
    </row>
    <row r="22" spans="1:532" ht="16.899999999999999" customHeight="1" x14ac:dyDescent="0.25">
      <c r="A22" s="66"/>
      <c r="B22" s="77"/>
      <c r="C22" s="63"/>
      <c r="D22" s="67"/>
      <c r="E22" s="100"/>
      <c r="F22" s="61"/>
      <c r="G22" s="61"/>
      <c r="H22" s="61"/>
      <c r="I22" s="61"/>
      <c r="J22" s="62"/>
      <c r="K22" s="61"/>
      <c r="L22" s="61"/>
      <c r="M22" s="62"/>
      <c r="N22" s="104"/>
      <c r="O22" s="61"/>
      <c r="P22" s="61"/>
      <c r="Q22" s="94"/>
      <c r="R22" s="95"/>
      <c r="S22" s="95"/>
      <c r="T22" s="95"/>
      <c r="U22" s="95"/>
      <c r="V22" s="95"/>
      <c r="W22" s="69" t="s">
        <v>157</v>
      </c>
      <c r="X22" s="68" t="s">
        <v>158</v>
      </c>
      <c r="Y22" s="70"/>
      <c r="Z22" s="68"/>
      <c r="AA22" s="95"/>
      <c r="AB22" s="95"/>
    </row>
    <row r="23" spans="1:532" s="85" customFormat="1" ht="16.899999999999999" customHeight="1" x14ac:dyDescent="0.25">
      <c r="A23" s="66"/>
      <c r="B23" s="77"/>
      <c r="C23" s="63"/>
      <c r="D23" s="67"/>
      <c r="E23" s="100"/>
      <c r="F23" s="61"/>
      <c r="G23" s="61"/>
      <c r="H23" s="61"/>
      <c r="I23" s="61"/>
      <c r="J23" s="62"/>
      <c r="K23" s="61"/>
      <c r="L23" s="61"/>
      <c r="M23" s="62"/>
      <c r="N23" s="104"/>
      <c r="O23" s="61"/>
      <c r="P23" s="61"/>
      <c r="Q23" s="94"/>
      <c r="R23" s="95"/>
      <c r="S23" s="95"/>
      <c r="T23" s="95"/>
      <c r="U23" s="95"/>
      <c r="V23" s="95"/>
      <c r="W23" s="69" t="s">
        <v>157</v>
      </c>
      <c r="X23" s="68" t="s">
        <v>158</v>
      </c>
      <c r="Y23" s="70"/>
      <c r="Z23" s="68"/>
      <c r="AA23" s="95"/>
      <c r="AB23" s="95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</row>
    <row r="24" spans="1:532" s="85" customFormat="1" ht="16.899999999999999" customHeight="1" x14ac:dyDescent="0.25">
      <c r="A24" s="66"/>
      <c r="B24" s="77"/>
      <c r="C24" s="63"/>
      <c r="D24" s="67"/>
      <c r="E24" s="100"/>
      <c r="F24" s="61"/>
      <c r="G24" s="61"/>
      <c r="H24" s="61"/>
      <c r="I24" s="61"/>
      <c r="J24" s="62"/>
      <c r="K24" s="61"/>
      <c r="L24" s="61"/>
      <c r="M24" s="62"/>
      <c r="N24" s="104"/>
      <c r="O24" s="61"/>
      <c r="P24" s="61"/>
      <c r="Q24" s="94"/>
      <c r="R24" s="95"/>
      <c r="S24" s="95"/>
      <c r="T24" s="95"/>
      <c r="U24" s="95"/>
      <c r="V24" s="95"/>
      <c r="W24" s="69" t="s">
        <v>157</v>
      </c>
      <c r="X24" s="68" t="s">
        <v>158</v>
      </c>
      <c r="Y24" s="70"/>
      <c r="Z24" s="68"/>
      <c r="AA24" s="95"/>
      <c r="AB24" s="95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</row>
    <row r="25" spans="1:532" s="85" customFormat="1" ht="16.899999999999999" customHeight="1" x14ac:dyDescent="0.25">
      <c r="A25" s="66"/>
      <c r="B25" s="77"/>
      <c r="C25" s="63"/>
      <c r="D25" s="67"/>
      <c r="E25" s="100"/>
      <c r="F25" s="61"/>
      <c r="G25" s="61"/>
      <c r="H25" s="61"/>
      <c r="I25" s="61"/>
      <c r="J25" s="62"/>
      <c r="K25" s="61"/>
      <c r="L25" s="61"/>
      <c r="M25" s="62"/>
      <c r="N25" s="104"/>
      <c r="O25" s="61"/>
      <c r="P25" s="61"/>
      <c r="Q25" s="94"/>
      <c r="R25" s="95"/>
      <c r="S25" s="95"/>
      <c r="T25" s="95"/>
      <c r="U25" s="95"/>
      <c r="V25" s="95"/>
      <c r="W25" s="69" t="s">
        <v>157</v>
      </c>
      <c r="X25" s="68" t="s">
        <v>158</v>
      </c>
      <c r="Y25" s="70"/>
      <c r="Z25" s="68"/>
      <c r="AA25" s="95"/>
      <c r="AB25" s="9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</row>
    <row r="26" spans="1:532" s="82" customFormat="1" ht="16.899999999999999" customHeight="1" x14ac:dyDescent="0.25">
      <c r="A26" s="66"/>
      <c r="B26" s="71"/>
      <c r="C26" s="63"/>
      <c r="D26" s="67"/>
      <c r="E26" s="100"/>
      <c r="F26" s="61"/>
      <c r="G26" s="61"/>
      <c r="H26" s="61"/>
      <c r="I26" s="61"/>
      <c r="J26" s="62"/>
      <c r="K26" s="61"/>
      <c r="L26" s="61"/>
      <c r="M26" s="62"/>
      <c r="N26" s="104"/>
      <c r="O26" s="61"/>
      <c r="P26" s="61"/>
      <c r="Q26" s="94"/>
      <c r="R26" s="95"/>
      <c r="S26" s="95"/>
      <c r="T26" s="95"/>
      <c r="U26" s="95"/>
      <c r="V26" s="95"/>
      <c r="W26" s="69" t="s">
        <v>157</v>
      </c>
      <c r="X26" s="68" t="s">
        <v>158</v>
      </c>
      <c r="Y26" s="70"/>
      <c r="Z26" s="68"/>
      <c r="AA26" s="95"/>
      <c r="AB26" s="95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</row>
    <row r="27" spans="1:532" s="85" customFormat="1" ht="16.899999999999999" customHeight="1" x14ac:dyDescent="0.25">
      <c r="A27" s="66"/>
      <c r="B27" s="71"/>
      <c r="C27" s="63"/>
      <c r="D27" s="67"/>
      <c r="E27" s="100"/>
      <c r="F27" s="61"/>
      <c r="G27" s="61"/>
      <c r="H27" s="61"/>
      <c r="I27" s="61"/>
      <c r="J27" s="62"/>
      <c r="K27" s="61"/>
      <c r="L27" s="61"/>
      <c r="M27" s="62"/>
      <c r="N27" s="104"/>
      <c r="O27" s="61"/>
      <c r="P27" s="61"/>
      <c r="Q27" s="94"/>
      <c r="R27" s="95"/>
      <c r="S27" s="95"/>
      <c r="T27" s="95"/>
      <c r="U27" s="95"/>
      <c r="V27" s="95"/>
      <c r="W27" s="69" t="s">
        <v>157</v>
      </c>
      <c r="X27" s="68" t="s">
        <v>158</v>
      </c>
      <c r="Y27" s="70"/>
      <c r="Z27" s="68"/>
      <c r="AA27" s="95"/>
      <c r="AB27" s="95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</row>
    <row r="28" spans="1:532" s="85" customFormat="1" ht="16.899999999999999" customHeight="1" x14ac:dyDescent="0.25">
      <c r="A28" s="66"/>
      <c r="B28" s="71"/>
      <c r="C28" s="63"/>
      <c r="D28" s="67"/>
      <c r="E28" s="100"/>
      <c r="F28" s="61"/>
      <c r="G28" s="61"/>
      <c r="H28" s="61"/>
      <c r="I28" s="61"/>
      <c r="J28" s="62"/>
      <c r="K28" s="61"/>
      <c r="L28" s="61"/>
      <c r="M28" s="62"/>
      <c r="N28" s="104"/>
      <c r="O28" s="61"/>
      <c r="P28" s="61"/>
      <c r="Q28" s="94"/>
      <c r="R28" s="95"/>
      <c r="S28" s="95"/>
      <c r="T28" s="95"/>
      <c r="U28" s="95"/>
      <c r="V28" s="95"/>
      <c r="W28" s="69" t="s">
        <v>157</v>
      </c>
      <c r="X28" s="68" t="s">
        <v>158</v>
      </c>
      <c r="Y28" s="70"/>
      <c r="Z28" s="68"/>
      <c r="AA28" s="95"/>
      <c r="AB28" s="95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</row>
    <row r="29" spans="1:532" s="85" customFormat="1" ht="16.899999999999999" customHeight="1" x14ac:dyDescent="0.25">
      <c r="A29" s="66"/>
      <c r="B29" s="71"/>
      <c r="C29" s="63"/>
      <c r="D29" s="67"/>
      <c r="E29" s="100"/>
      <c r="F29" s="61"/>
      <c r="G29" s="61"/>
      <c r="H29" s="61"/>
      <c r="I29" s="61"/>
      <c r="J29" s="62"/>
      <c r="K29" s="61"/>
      <c r="L29" s="61"/>
      <c r="M29" s="62"/>
      <c r="N29" s="104"/>
      <c r="O29" s="61"/>
      <c r="P29" s="61"/>
      <c r="Q29" s="94"/>
      <c r="R29" s="95"/>
      <c r="S29" s="95"/>
      <c r="T29" s="95"/>
      <c r="U29" s="95"/>
      <c r="V29" s="95"/>
      <c r="W29" s="69" t="s">
        <v>157</v>
      </c>
      <c r="X29" s="68" t="s">
        <v>158</v>
      </c>
      <c r="Y29" s="70"/>
      <c r="Z29" s="68"/>
      <c r="AA29" s="95"/>
      <c r="AB29" s="95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</row>
    <row r="30" spans="1:532" s="85" customFormat="1" ht="16.899999999999999" customHeight="1" x14ac:dyDescent="0.25">
      <c r="A30" s="66"/>
      <c r="B30" s="71"/>
      <c r="C30" s="63"/>
      <c r="D30" s="67"/>
      <c r="E30" s="100"/>
      <c r="F30" s="61"/>
      <c r="G30" s="61"/>
      <c r="H30" s="61"/>
      <c r="I30" s="61"/>
      <c r="J30" s="62"/>
      <c r="K30" s="105"/>
      <c r="L30" s="61"/>
      <c r="M30" s="62"/>
      <c r="N30" s="104"/>
      <c r="O30" s="61"/>
      <c r="P30" s="61"/>
      <c r="Q30" s="94"/>
      <c r="R30" s="95"/>
      <c r="S30" s="95"/>
      <c r="T30" s="95"/>
      <c r="U30" s="95"/>
      <c r="V30" s="95"/>
      <c r="W30" s="69" t="s">
        <v>157</v>
      </c>
      <c r="X30" s="68" t="s">
        <v>158</v>
      </c>
      <c r="Y30" s="70"/>
      <c r="Z30" s="68"/>
      <c r="AA30" s="95"/>
      <c r="AB30" s="95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</row>
    <row r="31" spans="1:532" s="85" customFormat="1" ht="16.899999999999999" customHeight="1" x14ac:dyDescent="0.25">
      <c r="A31" s="66"/>
      <c r="B31" s="71"/>
      <c r="C31" s="63"/>
      <c r="D31" s="67"/>
      <c r="E31" s="100"/>
      <c r="F31" s="61"/>
      <c r="G31" s="61"/>
      <c r="H31" s="61"/>
      <c r="I31" s="61"/>
      <c r="J31" s="62"/>
      <c r="K31" s="105"/>
      <c r="L31" s="61"/>
      <c r="M31" s="62"/>
      <c r="N31" s="104"/>
      <c r="O31" s="61"/>
      <c r="P31" s="61"/>
      <c r="Q31" s="94"/>
      <c r="R31" s="95"/>
      <c r="S31" s="95"/>
      <c r="T31" s="95"/>
      <c r="U31" s="95"/>
      <c r="V31" s="95"/>
      <c r="W31" s="69" t="s">
        <v>157</v>
      </c>
      <c r="X31" s="68" t="s">
        <v>158</v>
      </c>
      <c r="Y31" s="70"/>
      <c r="Z31" s="68"/>
      <c r="AA31" s="95"/>
      <c r="AB31" s="95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</row>
    <row r="32" spans="1:532" s="82" customFormat="1" ht="16.899999999999999" customHeight="1" x14ac:dyDescent="0.25">
      <c r="A32" s="66"/>
      <c r="B32" s="71"/>
      <c r="C32" s="63"/>
      <c r="D32" s="67"/>
      <c r="E32" s="100"/>
      <c r="F32" s="61"/>
      <c r="G32" s="61"/>
      <c r="H32" s="61"/>
      <c r="I32" s="61"/>
      <c r="J32" s="62"/>
      <c r="K32" s="61"/>
      <c r="L32" s="61"/>
      <c r="M32" s="62"/>
      <c r="N32" s="104"/>
      <c r="O32" s="61"/>
      <c r="P32" s="61"/>
      <c r="Q32" s="94"/>
      <c r="R32" s="95"/>
      <c r="S32" s="95"/>
      <c r="T32" s="95"/>
      <c r="U32" s="95"/>
      <c r="V32" s="95"/>
      <c r="W32" s="69" t="s">
        <v>157</v>
      </c>
      <c r="X32" s="68" t="s">
        <v>158</v>
      </c>
      <c r="Y32" s="70"/>
      <c r="Z32" s="68"/>
      <c r="AA32" s="95"/>
      <c r="AB32" s="95"/>
      <c r="AC32"/>
      <c r="AD32"/>
    </row>
    <row r="33" spans="1:30" s="82" customFormat="1" ht="16.899999999999999" customHeight="1" x14ac:dyDescent="0.25">
      <c r="A33" s="66"/>
      <c r="B33" s="71"/>
      <c r="C33" s="63"/>
      <c r="D33" s="67"/>
      <c r="E33" s="100"/>
      <c r="F33" s="61"/>
      <c r="G33" s="61"/>
      <c r="H33" s="61"/>
      <c r="I33" s="61"/>
      <c r="J33" s="62"/>
      <c r="K33" s="61"/>
      <c r="L33" s="61"/>
      <c r="M33" s="62"/>
      <c r="N33" s="104"/>
      <c r="O33" s="92"/>
      <c r="P33" s="92"/>
      <c r="Q33" s="94"/>
      <c r="R33" s="95"/>
      <c r="S33" s="95"/>
      <c r="T33" s="95"/>
      <c r="U33" s="95"/>
      <c r="V33" s="95"/>
      <c r="W33" s="69" t="s">
        <v>157</v>
      </c>
      <c r="X33" s="68" t="s">
        <v>158</v>
      </c>
      <c r="Y33" s="70"/>
      <c r="Z33" s="68"/>
      <c r="AA33" s="95"/>
      <c r="AB33" s="95"/>
      <c r="AC33"/>
      <c r="AD33"/>
    </row>
    <row r="34" spans="1:30" s="82" customFormat="1" ht="16.899999999999999" customHeight="1" x14ac:dyDescent="0.25">
      <c r="A34" s="66"/>
      <c r="B34" s="71"/>
      <c r="C34" s="63"/>
      <c r="D34" s="67"/>
      <c r="E34" s="100"/>
      <c r="F34" s="61"/>
      <c r="G34" s="61"/>
      <c r="H34" s="61"/>
      <c r="I34" s="61"/>
      <c r="J34" s="62"/>
      <c r="K34" s="61"/>
      <c r="L34" s="61"/>
      <c r="M34" s="62"/>
      <c r="N34" s="104"/>
      <c r="O34" s="92"/>
      <c r="P34" s="92"/>
      <c r="Q34" s="94"/>
      <c r="R34" s="95"/>
      <c r="S34" s="95"/>
      <c r="T34" s="95"/>
      <c r="U34" s="95"/>
      <c r="V34" s="95"/>
      <c r="W34" s="69" t="s">
        <v>157</v>
      </c>
      <c r="X34" s="68" t="s">
        <v>158</v>
      </c>
      <c r="Y34" s="70"/>
      <c r="Z34" s="68"/>
      <c r="AA34" s="95"/>
      <c r="AB34" s="95"/>
      <c r="AC34"/>
      <c r="AD34"/>
    </row>
    <row r="35" spans="1:30" s="82" customFormat="1" ht="16.899999999999999" customHeight="1" x14ac:dyDescent="0.25">
      <c r="A35" s="66"/>
      <c r="B35" s="71"/>
      <c r="C35" s="63"/>
      <c r="D35" s="67"/>
      <c r="E35" s="100"/>
      <c r="F35" s="61"/>
      <c r="G35" s="61"/>
      <c r="H35" s="61"/>
      <c r="I35" s="61"/>
      <c r="J35" s="62"/>
      <c r="K35" s="61"/>
      <c r="L35" s="61"/>
      <c r="M35" s="62"/>
      <c r="N35" s="104"/>
      <c r="O35" s="92"/>
      <c r="P35" s="92"/>
      <c r="Q35" s="94"/>
      <c r="R35" s="95"/>
      <c r="S35" s="95"/>
      <c r="T35" s="95"/>
      <c r="U35" s="95"/>
      <c r="V35" s="95"/>
      <c r="W35" s="69" t="s">
        <v>157</v>
      </c>
      <c r="X35" s="68" t="s">
        <v>158</v>
      </c>
      <c r="Y35" s="70"/>
      <c r="Z35" s="68"/>
      <c r="AA35" s="95"/>
      <c r="AB35" s="95"/>
      <c r="AC35"/>
      <c r="AD35"/>
    </row>
    <row r="36" spans="1:30" s="82" customFormat="1" ht="16.899999999999999" customHeight="1" x14ac:dyDescent="0.25">
      <c r="A36" s="66"/>
      <c r="B36" s="71"/>
      <c r="C36" s="63"/>
      <c r="D36" s="67"/>
      <c r="E36" s="87"/>
      <c r="F36" s="61"/>
      <c r="G36" s="61"/>
      <c r="H36" s="61"/>
      <c r="I36" s="61"/>
      <c r="J36" s="62"/>
      <c r="K36" s="61"/>
      <c r="L36" s="61"/>
      <c r="M36" s="62"/>
      <c r="N36" s="104"/>
      <c r="O36" s="61"/>
      <c r="P36" s="62"/>
      <c r="Q36" s="73"/>
      <c r="R36" s="68"/>
      <c r="S36" s="68"/>
      <c r="T36" s="68"/>
      <c r="U36" s="68"/>
      <c r="V36" s="68"/>
      <c r="W36" s="69" t="s">
        <v>157</v>
      </c>
      <c r="X36" s="68" t="s">
        <v>158</v>
      </c>
      <c r="Y36" s="70"/>
      <c r="Z36" s="68"/>
      <c r="AA36" s="68"/>
      <c r="AB36" s="68"/>
      <c r="AC36"/>
      <c r="AD36"/>
    </row>
    <row r="37" spans="1:30" s="82" customFormat="1" ht="16.899999999999999" customHeight="1" x14ac:dyDescent="0.25">
      <c r="A37" s="66"/>
      <c r="B37" s="71"/>
      <c r="C37" s="63"/>
      <c r="D37" s="67"/>
      <c r="E37" s="87"/>
      <c r="F37" s="61"/>
      <c r="G37" s="61"/>
      <c r="H37" s="61"/>
      <c r="I37" s="61"/>
      <c r="J37" s="62"/>
      <c r="K37" s="61"/>
      <c r="L37" s="61"/>
      <c r="M37" s="62"/>
      <c r="N37" s="104"/>
      <c r="O37" s="61"/>
      <c r="P37" s="62"/>
      <c r="Q37" s="73"/>
      <c r="R37" s="68"/>
      <c r="S37" s="68"/>
      <c r="T37" s="68"/>
      <c r="U37" s="68"/>
      <c r="V37" s="68"/>
      <c r="W37" s="69" t="s">
        <v>157</v>
      </c>
      <c r="X37" s="68" t="s">
        <v>158</v>
      </c>
      <c r="Y37" s="70"/>
      <c r="Z37" s="68"/>
      <c r="AA37" s="68"/>
      <c r="AB37" s="68"/>
      <c r="AC37"/>
      <c r="AD37"/>
    </row>
    <row r="38" spans="1:30" s="82" customFormat="1" ht="16.899999999999999" customHeight="1" x14ac:dyDescent="0.25">
      <c r="A38" s="66"/>
      <c r="B38" s="71"/>
      <c r="C38" s="63"/>
      <c r="D38" s="67"/>
      <c r="E38" s="106"/>
      <c r="F38" s="61"/>
      <c r="G38" s="61"/>
      <c r="H38" s="61"/>
      <c r="I38" s="61"/>
      <c r="J38" s="62"/>
      <c r="K38" s="61"/>
      <c r="L38" s="61"/>
      <c r="M38" s="62"/>
      <c r="N38" s="104"/>
      <c r="O38" s="61"/>
      <c r="P38" s="62"/>
      <c r="Q38" s="73"/>
      <c r="R38" s="68"/>
      <c r="S38" s="68"/>
      <c r="T38" s="68"/>
      <c r="U38" s="68"/>
      <c r="V38" s="68"/>
      <c r="W38" s="69" t="s">
        <v>157</v>
      </c>
      <c r="X38" s="68" t="s">
        <v>158</v>
      </c>
      <c r="Y38" s="70"/>
      <c r="Z38" s="68"/>
      <c r="AA38" s="68"/>
      <c r="AB38" s="68"/>
      <c r="AC38"/>
      <c r="AD38"/>
    </row>
    <row r="39" spans="1:30" s="82" customFormat="1" ht="16.899999999999999" customHeight="1" x14ac:dyDescent="0.25">
      <c r="A39" s="66"/>
      <c r="B39" s="71"/>
      <c r="C39" s="63"/>
      <c r="D39" s="67"/>
      <c r="E39" s="87"/>
      <c r="F39" s="61"/>
      <c r="G39" s="61"/>
      <c r="H39" s="61"/>
      <c r="I39" s="61"/>
      <c r="J39" s="62"/>
      <c r="K39" s="61"/>
      <c r="L39" s="61"/>
      <c r="M39" s="62"/>
      <c r="N39" s="104"/>
      <c r="O39" s="61"/>
      <c r="P39" s="62"/>
      <c r="Q39" s="73"/>
      <c r="R39" s="68"/>
      <c r="S39" s="68"/>
      <c r="T39" s="68"/>
      <c r="U39" s="68"/>
      <c r="V39" s="68"/>
      <c r="W39" s="69" t="s">
        <v>157</v>
      </c>
      <c r="X39" s="68" t="s">
        <v>158</v>
      </c>
      <c r="Y39" s="70"/>
      <c r="Z39" s="68"/>
      <c r="AA39" s="68"/>
      <c r="AB39" s="68"/>
      <c r="AC39"/>
      <c r="AD39"/>
    </row>
    <row r="40" spans="1:30" s="85" customFormat="1" ht="16.899999999999999" customHeight="1" x14ac:dyDescent="0.25">
      <c r="A40" s="66"/>
      <c r="B40" s="71"/>
      <c r="C40" s="63"/>
      <c r="D40" s="67"/>
      <c r="E40" s="87"/>
      <c r="F40" s="61"/>
      <c r="G40" s="61"/>
      <c r="H40" s="61"/>
      <c r="I40" s="61"/>
      <c r="J40" s="62"/>
      <c r="K40" s="61"/>
      <c r="L40" s="61"/>
      <c r="M40" s="62"/>
      <c r="N40" s="104"/>
      <c r="O40" s="61"/>
      <c r="P40" s="62"/>
      <c r="Q40" s="73"/>
      <c r="R40" s="68"/>
      <c r="S40" s="68"/>
      <c r="T40" s="68"/>
      <c r="U40" s="68"/>
      <c r="V40" s="68"/>
      <c r="W40" s="69" t="s">
        <v>157</v>
      </c>
      <c r="X40" s="68" t="s">
        <v>158</v>
      </c>
      <c r="Y40" s="70"/>
      <c r="Z40" s="68"/>
      <c r="AA40" s="68"/>
      <c r="AB40" s="68"/>
      <c r="AC40"/>
      <c r="AD40"/>
    </row>
    <row r="41" spans="1:30" ht="16.899999999999999" customHeight="1" x14ac:dyDescent="0.25">
      <c r="A41" s="66"/>
      <c r="B41" s="77"/>
      <c r="C41" s="63"/>
      <c r="D41" s="67"/>
      <c r="E41" s="87"/>
      <c r="F41" s="61"/>
      <c r="G41" s="61"/>
      <c r="H41" s="61"/>
      <c r="I41" s="61"/>
      <c r="J41" s="62"/>
      <c r="K41" s="61"/>
      <c r="L41" s="61"/>
      <c r="M41" s="62"/>
      <c r="N41" s="104"/>
      <c r="O41" s="61"/>
      <c r="P41" s="62"/>
      <c r="Q41" s="73"/>
      <c r="R41" s="68"/>
      <c r="S41" s="68"/>
      <c r="T41" s="68"/>
      <c r="U41" s="68"/>
      <c r="V41" s="68"/>
      <c r="W41" s="69" t="s">
        <v>157</v>
      </c>
      <c r="X41" s="68" t="s">
        <v>158</v>
      </c>
      <c r="Y41" s="70"/>
      <c r="Z41" s="68"/>
      <c r="AA41" s="68"/>
      <c r="AB41" s="68"/>
    </row>
    <row r="42" spans="1:30" ht="16.899999999999999" customHeight="1" x14ac:dyDescent="0.25">
      <c r="A42" s="66"/>
      <c r="B42" s="77"/>
      <c r="C42" s="63"/>
      <c r="D42" s="67"/>
      <c r="E42" s="100"/>
      <c r="F42" s="61"/>
      <c r="G42" s="61"/>
      <c r="H42" s="61"/>
      <c r="I42" s="61"/>
      <c r="J42" s="62"/>
      <c r="K42" s="61"/>
      <c r="L42" s="61"/>
      <c r="M42" s="62"/>
      <c r="N42" s="104"/>
      <c r="O42" s="61"/>
      <c r="P42" s="62"/>
      <c r="Q42" s="73"/>
      <c r="R42" s="68"/>
      <c r="S42" s="68"/>
      <c r="T42" s="68"/>
      <c r="U42" s="68"/>
      <c r="V42" s="68"/>
      <c r="W42" s="69" t="s">
        <v>157</v>
      </c>
      <c r="X42" s="68" t="s">
        <v>158</v>
      </c>
      <c r="Y42" s="70"/>
      <c r="Z42" s="68"/>
      <c r="AA42" s="68"/>
      <c r="AB42" s="68"/>
    </row>
    <row r="43" spans="1:30" ht="16.899999999999999" customHeight="1" x14ac:dyDescent="0.25">
      <c r="A43" s="66"/>
      <c r="B43" s="77"/>
      <c r="C43" s="63"/>
      <c r="D43" s="67"/>
      <c r="E43" s="100"/>
      <c r="F43" s="61"/>
      <c r="G43" s="61"/>
      <c r="H43" s="61"/>
      <c r="I43" s="61"/>
      <c r="J43" s="62"/>
      <c r="K43" s="61"/>
      <c r="L43" s="61"/>
      <c r="M43" s="62"/>
      <c r="N43" s="104"/>
      <c r="O43" s="61"/>
      <c r="P43" s="62"/>
      <c r="Q43" s="73"/>
      <c r="R43" s="68"/>
      <c r="S43" s="68"/>
      <c r="T43" s="68"/>
      <c r="U43" s="68"/>
      <c r="V43" s="68"/>
      <c r="W43" s="69" t="s">
        <v>157</v>
      </c>
      <c r="X43" s="68" t="s">
        <v>158</v>
      </c>
      <c r="Y43" s="70"/>
      <c r="Z43" s="68"/>
      <c r="AA43" s="68"/>
      <c r="AB43" s="68"/>
    </row>
    <row r="44" spans="1:30" ht="16.899999999999999" customHeight="1" x14ac:dyDescent="0.25">
      <c r="A44" s="109"/>
      <c r="B44" s="77"/>
      <c r="C44" s="63"/>
      <c r="D44" s="67"/>
      <c r="E44" s="100"/>
      <c r="F44" s="61"/>
      <c r="G44" s="61"/>
      <c r="H44" s="61"/>
      <c r="I44" s="61"/>
      <c r="J44" s="62"/>
      <c r="K44" s="61"/>
      <c r="L44" s="61"/>
      <c r="M44" s="62"/>
      <c r="N44" s="61"/>
      <c r="O44" s="61"/>
      <c r="P44" s="62"/>
      <c r="Q44" s="110"/>
      <c r="R44" s="111"/>
      <c r="S44" s="111"/>
      <c r="T44" s="111"/>
      <c r="U44" s="111"/>
      <c r="V44" s="111"/>
      <c r="W44" s="112" t="s">
        <v>157</v>
      </c>
      <c r="X44" s="111" t="s">
        <v>158</v>
      </c>
      <c r="Y44" s="113"/>
      <c r="Z44" s="111"/>
      <c r="AA44" s="111"/>
      <c r="AB44" s="111"/>
    </row>
    <row r="45" spans="1:30" ht="16.899999999999999" customHeight="1" x14ac:dyDescent="0.25">
      <c r="A45" s="109"/>
      <c r="B45" s="77"/>
      <c r="C45" s="63"/>
      <c r="D45" s="67"/>
      <c r="E45" s="100"/>
      <c r="F45" s="61"/>
      <c r="G45" s="61"/>
      <c r="H45" s="61"/>
      <c r="I45" s="61"/>
      <c r="J45" s="62"/>
      <c r="K45" s="61"/>
      <c r="L45" s="61"/>
      <c r="M45" s="62"/>
      <c r="N45" s="61"/>
      <c r="O45" s="61"/>
      <c r="P45" s="62"/>
      <c r="Q45" s="110"/>
      <c r="R45" s="111"/>
      <c r="S45" s="111"/>
      <c r="T45" s="111"/>
      <c r="U45" s="111"/>
      <c r="V45" s="111"/>
      <c r="W45" s="112" t="s">
        <v>157</v>
      </c>
      <c r="X45" s="111" t="s">
        <v>158</v>
      </c>
      <c r="Y45" s="113"/>
      <c r="Z45" s="111"/>
      <c r="AA45" s="111"/>
      <c r="AB45" s="111"/>
    </row>
    <row r="46" spans="1:30" ht="16.899999999999999" customHeight="1" x14ac:dyDescent="0.25">
      <c r="A46" s="109"/>
      <c r="B46" s="77"/>
      <c r="C46" s="63"/>
      <c r="D46" s="67"/>
      <c r="E46" s="100"/>
      <c r="F46" s="61"/>
      <c r="G46" s="61"/>
      <c r="H46" s="61"/>
      <c r="I46" s="61"/>
      <c r="J46" s="62"/>
      <c r="K46" s="61"/>
      <c r="L46" s="61"/>
      <c r="M46" s="62"/>
      <c r="N46" s="61"/>
      <c r="O46" s="61"/>
      <c r="P46" s="62"/>
      <c r="Q46" s="110"/>
      <c r="R46" s="111"/>
      <c r="S46" s="111"/>
      <c r="T46" s="111"/>
      <c r="U46" s="111"/>
      <c r="V46" s="111"/>
      <c r="W46" s="112" t="s">
        <v>157</v>
      </c>
      <c r="X46" s="111" t="s">
        <v>158</v>
      </c>
      <c r="Y46" s="113"/>
      <c r="Z46" s="111"/>
      <c r="AA46" s="111"/>
      <c r="AB46" s="111"/>
    </row>
    <row r="47" spans="1:30" ht="16.899999999999999" customHeight="1" x14ac:dyDescent="0.25">
      <c r="A47" s="109"/>
      <c r="B47" s="77"/>
      <c r="C47" s="63"/>
      <c r="D47" s="67"/>
      <c r="E47" s="100"/>
      <c r="F47" s="61"/>
      <c r="G47" s="61"/>
      <c r="H47" s="61"/>
      <c r="I47" s="61"/>
      <c r="J47" s="62"/>
      <c r="K47" s="61"/>
      <c r="L47" s="61"/>
      <c r="M47" s="62"/>
      <c r="N47" s="61"/>
      <c r="O47" s="61"/>
      <c r="P47" s="62"/>
      <c r="Q47" s="110"/>
      <c r="R47" s="111"/>
      <c r="S47" s="111"/>
      <c r="T47" s="111"/>
      <c r="U47" s="111"/>
      <c r="V47" s="111"/>
      <c r="W47" s="112" t="s">
        <v>157</v>
      </c>
      <c r="X47" s="111" t="s">
        <v>158</v>
      </c>
      <c r="Y47" s="113"/>
      <c r="Z47" s="111"/>
      <c r="AA47" s="111"/>
      <c r="AB47" s="111"/>
    </row>
    <row r="48" spans="1:30" ht="16.899999999999999" customHeight="1" x14ac:dyDescent="0.25">
      <c r="A48" s="109"/>
      <c r="B48" s="77"/>
      <c r="C48" s="63"/>
      <c r="D48" s="67"/>
      <c r="E48" s="100"/>
      <c r="F48" s="61"/>
      <c r="G48" s="61"/>
      <c r="H48" s="61"/>
      <c r="I48" s="61"/>
      <c r="J48" s="62"/>
      <c r="K48" s="61"/>
      <c r="L48" s="61"/>
      <c r="M48" s="62"/>
      <c r="N48" s="61"/>
      <c r="O48" s="61"/>
      <c r="P48" s="62"/>
      <c r="Q48" s="110"/>
      <c r="R48" s="111"/>
      <c r="S48" s="111"/>
      <c r="T48" s="111"/>
      <c r="U48" s="111"/>
      <c r="V48" s="111"/>
      <c r="W48" s="112" t="s">
        <v>157</v>
      </c>
      <c r="X48" s="111" t="s">
        <v>158</v>
      </c>
      <c r="Y48" s="113"/>
      <c r="Z48" s="111"/>
      <c r="AA48" s="111"/>
      <c r="AB48" s="111"/>
    </row>
    <row r="49" spans="1:28" ht="16.899999999999999" customHeight="1" x14ac:dyDescent="0.25">
      <c r="A49" s="109"/>
      <c r="B49" s="77"/>
      <c r="C49" s="63"/>
      <c r="D49" s="67"/>
      <c r="E49" s="100"/>
      <c r="F49" s="61"/>
      <c r="G49" s="61"/>
      <c r="H49" s="61"/>
      <c r="I49" s="61"/>
      <c r="J49" s="62"/>
      <c r="K49" s="61"/>
      <c r="L49" s="61"/>
      <c r="M49" s="62"/>
      <c r="N49" s="61"/>
      <c r="O49" s="61"/>
      <c r="P49" s="62"/>
      <c r="Q49" s="110"/>
      <c r="R49" s="111"/>
      <c r="S49" s="111"/>
      <c r="T49" s="111"/>
      <c r="U49" s="111"/>
      <c r="V49" s="111"/>
      <c r="W49" s="112" t="s">
        <v>157</v>
      </c>
      <c r="X49" s="111" t="s">
        <v>158</v>
      </c>
      <c r="Y49" s="113"/>
      <c r="Z49" s="111"/>
      <c r="AA49" s="111"/>
      <c r="AB49" s="111"/>
    </row>
    <row r="50" spans="1:28" ht="16.899999999999999" customHeight="1" x14ac:dyDescent="0.25">
      <c r="A50" s="109"/>
      <c r="B50" s="77"/>
      <c r="C50" s="63"/>
      <c r="D50" s="67"/>
      <c r="E50" s="100"/>
      <c r="F50" s="61"/>
      <c r="G50" s="61"/>
      <c r="H50" s="61"/>
      <c r="I50" s="61"/>
      <c r="J50" s="62"/>
      <c r="K50" s="61"/>
      <c r="L50" s="61"/>
      <c r="M50" s="62"/>
      <c r="N50" s="61"/>
      <c r="O50" s="61"/>
      <c r="P50" s="62"/>
      <c r="Q50" s="110"/>
      <c r="R50" s="111"/>
      <c r="S50" s="111"/>
      <c r="T50" s="111"/>
      <c r="U50" s="111"/>
      <c r="V50" s="111"/>
      <c r="W50" s="112" t="s">
        <v>157</v>
      </c>
      <c r="X50" s="111" t="s">
        <v>158</v>
      </c>
      <c r="Y50" s="113"/>
      <c r="Z50" s="111"/>
      <c r="AA50" s="111"/>
      <c r="AB50" s="111"/>
    </row>
    <row r="51" spans="1:28" ht="16.899999999999999" customHeight="1" x14ac:dyDescent="0.25">
      <c r="A51" s="66"/>
      <c r="B51" s="77"/>
      <c r="C51" s="63"/>
      <c r="D51" s="67"/>
      <c r="E51" s="100"/>
      <c r="F51" s="61"/>
      <c r="G51" s="61"/>
      <c r="H51" s="61"/>
      <c r="I51" s="61"/>
      <c r="J51" s="62"/>
      <c r="K51" s="61"/>
      <c r="L51" s="61"/>
      <c r="M51" s="62"/>
      <c r="N51" s="104"/>
      <c r="O51" s="61"/>
      <c r="P51" s="62"/>
      <c r="Q51" s="73"/>
      <c r="R51" s="68"/>
      <c r="S51" s="68"/>
      <c r="T51" s="68"/>
      <c r="U51" s="68"/>
      <c r="V51" s="68"/>
      <c r="W51" s="69" t="s">
        <v>157</v>
      </c>
      <c r="X51" s="68" t="s">
        <v>158</v>
      </c>
      <c r="Y51" s="70"/>
      <c r="Z51" s="68"/>
      <c r="AA51" s="68"/>
      <c r="AB51" s="68"/>
    </row>
    <row r="52" spans="1:28" ht="16.899999999999999" customHeight="1" x14ac:dyDescent="0.25">
      <c r="A52" s="109"/>
      <c r="B52" s="77"/>
      <c r="C52" s="63"/>
      <c r="D52" s="67"/>
      <c r="E52" s="100"/>
      <c r="F52" s="61"/>
      <c r="G52" s="61"/>
      <c r="H52" s="61"/>
      <c r="I52" s="61"/>
      <c r="J52" s="62"/>
      <c r="K52" s="61"/>
      <c r="L52" s="61"/>
      <c r="M52" s="62"/>
      <c r="N52" s="61"/>
      <c r="O52" s="61"/>
      <c r="P52" s="62"/>
      <c r="Q52" s="110"/>
      <c r="R52" s="111"/>
      <c r="S52" s="111"/>
      <c r="T52" s="111"/>
      <c r="U52" s="111"/>
      <c r="V52" s="111"/>
      <c r="W52" s="112" t="s">
        <v>157</v>
      </c>
      <c r="X52" s="111" t="s">
        <v>158</v>
      </c>
      <c r="Y52" s="113"/>
      <c r="Z52" s="111"/>
      <c r="AA52" s="111"/>
      <c r="AB52" s="111"/>
    </row>
    <row r="53" spans="1:28" ht="16.899999999999999" customHeight="1" x14ac:dyDescent="0.25">
      <c r="A53" s="109"/>
      <c r="B53" s="77"/>
      <c r="C53" s="63"/>
      <c r="D53" s="67"/>
      <c r="E53" s="100"/>
      <c r="F53" s="61"/>
      <c r="G53" s="61"/>
      <c r="H53" s="61"/>
      <c r="I53" s="61"/>
      <c r="J53" s="62"/>
      <c r="K53" s="61"/>
      <c r="L53" s="61"/>
      <c r="M53" s="62"/>
      <c r="N53" s="61"/>
      <c r="O53" s="61"/>
      <c r="P53" s="62"/>
      <c r="Q53" s="110"/>
      <c r="R53" s="111"/>
      <c r="S53" s="111"/>
      <c r="T53" s="111"/>
      <c r="U53" s="111"/>
      <c r="V53" s="111"/>
      <c r="W53" s="112" t="s">
        <v>157</v>
      </c>
      <c r="X53" s="111" t="s">
        <v>158</v>
      </c>
      <c r="Y53" s="113"/>
      <c r="Z53" s="111"/>
      <c r="AA53" s="111"/>
      <c r="AB53" s="111"/>
    </row>
    <row r="54" spans="1:28" ht="16.899999999999999" customHeight="1" x14ac:dyDescent="0.25">
      <c r="A54" s="109"/>
      <c r="B54" s="77"/>
      <c r="C54" s="63"/>
      <c r="D54" s="67"/>
      <c r="E54" s="100"/>
      <c r="F54" s="61"/>
      <c r="G54" s="61"/>
      <c r="H54" s="61"/>
      <c r="I54" s="61"/>
      <c r="J54" s="62"/>
      <c r="K54" s="61"/>
      <c r="L54" s="61"/>
      <c r="M54" s="62"/>
      <c r="N54" s="61"/>
      <c r="O54" s="61"/>
      <c r="P54" s="62"/>
      <c r="Q54" s="110"/>
      <c r="R54" s="111"/>
      <c r="S54" s="111"/>
      <c r="T54" s="111"/>
      <c r="U54" s="111"/>
      <c r="V54" s="111"/>
      <c r="W54" s="112" t="s">
        <v>157</v>
      </c>
      <c r="X54" s="111" t="s">
        <v>158</v>
      </c>
      <c r="Y54" s="113"/>
      <c r="Z54" s="111"/>
      <c r="AA54" s="111"/>
      <c r="AB54" s="111"/>
    </row>
    <row r="55" spans="1:28" ht="16.899999999999999" customHeight="1" x14ac:dyDescent="0.25">
      <c r="A55" s="109"/>
      <c r="B55" s="77"/>
      <c r="C55" s="63"/>
      <c r="D55" s="67"/>
      <c r="E55" s="100"/>
      <c r="F55" s="61"/>
      <c r="G55" s="61"/>
      <c r="H55" s="61"/>
      <c r="I55" s="61"/>
      <c r="J55" s="62"/>
      <c r="K55" s="61"/>
      <c r="L55" s="61"/>
      <c r="M55" s="62"/>
      <c r="N55" s="61"/>
      <c r="O55" s="61"/>
      <c r="P55" s="62"/>
      <c r="Q55" s="110"/>
      <c r="R55" s="111"/>
      <c r="S55" s="111"/>
      <c r="T55" s="111"/>
      <c r="U55" s="111"/>
      <c r="V55" s="111"/>
      <c r="W55" s="112" t="s">
        <v>157</v>
      </c>
      <c r="X55" s="111" t="s">
        <v>158</v>
      </c>
      <c r="Y55" s="113"/>
      <c r="Z55" s="111"/>
      <c r="AA55" s="111"/>
      <c r="AB55" s="111"/>
    </row>
    <row r="56" spans="1:28" ht="16.899999999999999" customHeight="1" x14ac:dyDescent="0.25">
      <c r="A56" s="109"/>
      <c r="B56" s="77"/>
      <c r="C56" s="63"/>
      <c r="D56" s="67"/>
      <c r="E56" s="100"/>
      <c r="F56" s="61"/>
      <c r="G56" s="61"/>
      <c r="H56" s="61"/>
      <c r="I56" s="61"/>
      <c r="J56" s="62"/>
      <c r="K56" s="61"/>
      <c r="L56" s="61"/>
      <c r="M56" s="62"/>
      <c r="N56" s="61"/>
      <c r="O56" s="61"/>
      <c r="P56" s="62"/>
      <c r="Q56" s="110"/>
      <c r="R56" s="111"/>
      <c r="S56" s="111"/>
      <c r="T56" s="111"/>
      <c r="U56" s="111"/>
      <c r="V56" s="111"/>
      <c r="W56" s="112" t="s">
        <v>157</v>
      </c>
      <c r="X56" s="111" t="s">
        <v>158</v>
      </c>
      <c r="Y56" s="113"/>
      <c r="Z56" s="111"/>
      <c r="AA56" s="111"/>
      <c r="AB56" s="111"/>
    </row>
    <row r="57" spans="1:28" ht="16.899999999999999" customHeight="1" x14ac:dyDescent="0.25">
      <c r="A57" s="109"/>
      <c r="B57" s="77"/>
      <c r="C57" s="63"/>
      <c r="D57" s="67"/>
      <c r="E57" s="100"/>
      <c r="F57" s="61"/>
      <c r="G57" s="61"/>
      <c r="H57" s="61"/>
      <c r="I57" s="61"/>
      <c r="J57" s="62"/>
      <c r="K57" s="61"/>
      <c r="L57" s="61"/>
      <c r="M57" s="62"/>
      <c r="N57" s="61"/>
      <c r="O57" s="61"/>
      <c r="P57" s="62"/>
      <c r="Q57" s="110"/>
      <c r="R57" s="111"/>
      <c r="S57" s="111"/>
      <c r="T57" s="111"/>
      <c r="U57" s="111"/>
      <c r="V57" s="111"/>
      <c r="W57" s="112" t="s">
        <v>157</v>
      </c>
      <c r="X57" s="111" t="s">
        <v>158</v>
      </c>
      <c r="Y57" s="113"/>
      <c r="Z57" s="111"/>
      <c r="AA57" s="111"/>
      <c r="AB57" s="111"/>
    </row>
    <row r="58" spans="1:28" ht="16.899999999999999" customHeight="1" x14ac:dyDescent="0.25">
      <c r="A58" s="109"/>
      <c r="B58" s="77"/>
      <c r="C58" s="63"/>
      <c r="D58" s="67"/>
      <c r="E58" s="100"/>
      <c r="F58" s="61"/>
      <c r="G58" s="61"/>
      <c r="H58" s="61"/>
      <c r="I58" s="61"/>
      <c r="J58" s="62"/>
      <c r="K58" s="61"/>
      <c r="L58" s="61"/>
      <c r="M58" s="62"/>
      <c r="N58" s="61"/>
      <c r="O58" s="61"/>
      <c r="P58" s="62"/>
      <c r="Q58" s="110"/>
      <c r="R58" s="111"/>
      <c r="S58" s="111"/>
      <c r="T58" s="111"/>
      <c r="U58" s="111"/>
      <c r="V58" s="111"/>
      <c r="W58" s="112" t="s">
        <v>157</v>
      </c>
      <c r="X58" s="111" t="s">
        <v>158</v>
      </c>
      <c r="Y58" s="113"/>
      <c r="Z58" s="111"/>
      <c r="AA58" s="111"/>
      <c r="AB58" s="111"/>
    </row>
    <row r="59" spans="1:28" ht="16.899999999999999" customHeight="1" x14ac:dyDescent="0.25">
      <c r="A59" s="109"/>
      <c r="B59" s="77"/>
      <c r="C59" s="63"/>
      <c r="D59" s="67"/>
      <c r="E59" s="100"/>
      <c r="F59" s="61"/>
      <c r="G59" s="61"/>
      <c r="H59" s="61"/>
      <c r="I59" s="61"/>
      <c r="J59" s="62"/>
      <c r="K59" s="61"/>
      <c r="L59" s="61"/>
      <c r="M59" s="62"/>
      <c r="N59" s="61"/>
      <c r="O59" s="61"/>
      <c r="P59" s="62"/>
      <c r="Q59" s="110"/>
      <c r="R59" s="111"/>
      <c r="S59" s="111"/>
      <c r="T59" s="111"/>
      <c r="U59" s="111"/>
      <c r="V59" s="111"/>
      <c r="W59" s="112" t="s">
        <v>157</v>
      </c>
      <c r="X59" s="111" t="s">
        <v>158</v>
      </c>
      <c r="Y59" s="113"/>
      <c r="Z59" s="111"/>
      <c r="AA59" s="111"/>
      <c r="AB59" s="111"/>
    </row>
    <row r="60" spans="1:28" ht="16.899999999999999" customHeight="1" x14ac:dyDescent="0.25">
      <c r="A60" s="109"/>
      <c r="B60" s="77"/>
      <c r="C60" s="63"/>
      <c r="D60" s="67"/>
      <c r="E60" s="100"/>
      <c r="F60" s="61"/>
      <c r="G60" s="61"/>
      <c r="H60" s="61"/>
      <c r="I60" s="61"/>
      <c r="J60" s="62"/>
      <c r="K60" s="61"/>
      <c r="L60" s="61"/>
      <c r="M60" s="62"/>
      <c r="N60" s="61"/>
      <c r="O60" s="61"/>
      <c r="P60" s="62"/>
      <c r="Q60" s="110"/>
      <c r="R60" s="111"/>
      <c r="S60" s="111"/>
      <c r="T60" s="111"/>
      <c r="U60" s="111"/>
      <c r="V60" s="111"/>
      <c r="W60" s="112" t="s">
        <v>157</v>
      </c>
      <c r="X60" s="111" t="s">
        <v>158</v>
      </c>
      <c r="Y60" s="113"/>
      <c r="Z60" s="111"/>
      <c r="AA60" s="111"/>
      <c r="AB60" s="111"/>
    </row>
    <row r="61" spans="1:28" ht="16.899999999999999" customHeight="1" x14ac:dyDescent="0.25">
      <c r="A61" s="109"/>
      <c r="B61" s="77"/>
      <c r="C61" s="63"/>
      <c r="D61" s="67"/>
      <c r="E61" s="100"/>
      <c r="F61" s="61"/>
      <c r="G61" s="61"/>
      <c r="H61" s="61"/>
      <c r="I61" s="61"/>
      <c r="J61" s="62"/>
      <c r="K61" s="61"/>
      <c r="L61" s="61"/>
      <c r="M61" s="62"/>
      <c r="N61" s="61"/>
      <c r="O61" s="61"/>
      <c r="P61" s="62"/>
      <c r="Q61" s="110"/>
      <c r="R61" s="111"/>
      <c r="S61" s="111"/>
      <c r="T61" s="111"/>
      <c r="U61" s="111"/>
      <c r="V61" s="111"/>
      <c r="W61" s="112" t="s">
        <v>157</v>
      </c>
      <c r="X61" s="111" t="s">
        <v>158</v>
      </c>
      <c r="Y61" s="113"/>
      <c r="Z61" s="111"/>
      <c r="AA61" s="111"/>
      <c r="AB61" s="111"/>
    </row>
    <row r="62" spans="1:28" ht="16.899999999999999" customHeight="1" x14ac:dyDescent="0.25">
      <c r="A62" s="109"/>
      <c r="B62" s="77"/>
      <c r="C62" s="63"/>
      <c r="D62" s="67"/>
      <c r="E62" s="100"/>
      <c r="F62" s="61"/>
      <c r="G62" s="61"/>
      <c r="H62" s="61"/>
      <c r="I62" s="61"/>
      <c r="J62" s="62"/>
      <c r="K62" s="61"/>
      <c r="L62" s="61"/>
      <c r="M62" s="62"/>
      <c r="N62" s="61"/>
      <c r="O62" s="61"/>
      <c r="P62" s="62"/>
      <c r="Q62" s="110"/>
      <c r="R62" s="111"/>
      <c r="S62" s="111"/>
      <c r="T62" s="111"/>
      <c r="U62" s="111"/>
      <c r="V62" s="111"/>
      <c r="W62" s="112" t="s">
        <v>157</v>
      </c>
      <c r="X62" s="111" t="s">
        <v>158</v>
      </c>
      <c r="Y62" s="113"/>
      <c r="Z62" s="111"/>
      <c r="AA62" s="111"/>
      <c r="AB62" s="111"/>
    </row>
    <row r="63" spans="1:28" ht="16.899999999999999" customHeight="1" x14ac:dyDescent="0.25">
      <c r="A63" s="109"/>
      <c r="B63" s="77"/>
      <c r="C63" s="63"/>
      <c r="D63" s="67"/>
      <c r="E63" s="100"/>
      <c r="F63" s="61"/>
      <c r="G63" s="61"/>
      <c r="H63" s="61"/>
      <c r="I63" s="61"/>
      <c r="J63" s="62"/>
      <c r="K63" s="61"/>
      <c r="L63" s="61"/>
      <c r="M63" s="62"/>
      <c r="N63" s="61"/>
      <c r="O63" s="61"/>
      <c r="P63" s="62"/>
      <c r="Q63" s="110"/>
      <c r="R63" s="111"/>
      <c r="S63" s="111"/>
      <c r="T63" s="111"/>
      <c r="U63" s="111"/>
      <c r="V63" s="111"/>
      <c r="W63" s="112" t="s">
        <v>157</v>
      </c>
      <c r="X63" s="111" t="s">
        <v>158</v>
      </c>
      <c r="Y63" s="113"/>
      <c r="Z63" s="111"/>
      <c r="AA63" s="111"/>
      <c r="AB63" s="111"/>
    </row>
    <row r="64" spans="1:28" ht="16.899999999999999" customHeight="1" x14ac:dyDescent="0.25">
      <c r="A64" s="109"/>
      <c r="B64" s="77"/>
      <c r="C64" s="63"/>
      <c r="D64" s="67"/>
      <c r="E64" s="100"/>
      <c r="F64" s="61"/>
      <c r="G64" s="61"/>
      <c r="H64" s="61"/>
      <c r="I64" s="61"/>
      <c r="J64" s="62"/>
      <c r="K64" s="61"/>
      <c r="L64" s="61"/>
      <c r="M64" s="62"/>
      <c r="N64" s="61"/>
      <c r="O64" s="61"/>
      <c r="P64" s="62"/>
      <c r="Q64" s="110"/>
      <c r="R64" s="111"/>
      <c r="S64" s="111"/>
      <c r="T64" s="111"/>
      <c r="U64" s="111"/>
      <c r="V64" s="111"/>
      <c r="W64" s="112" t="s">
        <v>157</v>
      </c>
      <c r="X64" s="111" t="s">
        <v>158</v>
      </c>
      <c r="Y64" s="113"/>
      <c r="Z64" s="111"/>
      <c r="AA64" s="111"/>
      <c r="AB64" s="111"/>
    </row>
    <row r="65" spans="1:28" ht="16.899999999999999" customHeight="1" x14ac:dyDescent="0.25">
      <c r="A65" s="109"/>
      <c r="B65" s="77"/>
      <c r="C65" s="63"/>
      <c r="D65" s="67"/>
      <c r="E65" s="100"/>
      <c r="F65" s="61"/>
      <c r="G65" s="61"/>
      <c r="H65" s="61"/>
      <c r="I65" s="61"/>
      <c r="J65" s="62"/>
      <c r="K65" s="61"/>
      <c r="L65" s="61"/>
      <c r="M65" s="62"/>
      <c r="N65" s="61"/>
      <c r="O65" s="61"/>
      <c r="P65" s="62"/>
      <c r="Q65" s="110"/>
      <c r="R65" s="111"/>
      <c r="S65" s="111"/>
      <c r="T65" s="111"/>
      <c r="U65" s="111"/>
      <c r="V65" s="111"/>
      <c r="W65" s="112" t="s">
        <v>157</v>
      </c>
      <c r="X65" s="111" t="s">
        <v>158</v>
      </c>
      <c r="Y65" s="113"/>
      <c r="Z65" s="111"/>
      <c r="AA65" s="111"/>
      <c r="AB65" s="111"/>
    </row>
    <row r="66" spans="1:28" ht="16.899999999999999" customHeight="1" x14ac:dyDescent="0.25">
      <c r="A66" s="109"/>
      <c r="B66" s="77"/>
      <c r="C66" s="63"/>
      <c r="D66" s="67"/>
      <c r="E66" s="100"/>
      <c r="F66" s="61"/>
      <c r="G66" s="61"/>
      <c r="H66" s="61"/>
      <c r="I66" s="61"/>
      <c r="J66" s="62"/>
      <c r="K66" s="61"/>
      <c r="L66" s="61"/>
      <c r="M66" s="62"/>
      <c r="N66" s="61"/>
      <c r="O66" s="61"/>
      <c r="P66" s="62"/>
      <c r="Q66" s="110"/>
      <c r="R66" s="111"/>
      <c r="S66" s="111"/>
      <c r="T66" s="111"/>
      <c r="U66" s="111"/>
      <c r="V66" s="111"/>
      <c r="W66" s="112" t="s">
        <v>157</v>
      </c>
      <c r="X66" s="111" t="s">
        <v>158</v>
      </c>
      <c r="Y66" s="113"/>
      <c r="Z66" s="111"/>
      <c r="AA66" s="111"/>
      <c r="AB66" s="111"/>
    </row>
    <row r="67" spans="1:28" ht="16.899999999999999" customHeight="1" x14ac:dyDescent="0.25">
      <c r="A67" s="109"/>
      <c r="B67" s="77"/>
      <c r="C67" s="63"/>
      <c r="D67" s="67"/>
      <c r="E67" s="100"/>
      <c r="F67" s="61"/>
      <c r="G67" s="61"/>
      <c r="H67" s="61"/>
      <c r="I67" s="61"/>
      <c r="J67" s="62"/>
      <c r="K67" s="61"/>
      <c r="L67" s="61"/>
      <c r="M67" s="62"/>
      <c r="N67" s="61"/>
      <c r="O67" s="61"/>
      <c r="P67" s="62"/>
      <c r="Q67" s="110"/>
      <c r="R67" s="111"/>
      <c r="S67" s="111"/>
      <c r="T67" s="111"/>
      <c r="U67" s="111"/>
      <c r="V67" s="111"/>
      <c r="W67" s="112" t="s">
        <v>157</v>
      </c>
      <c r="X67" s="111" t="s">
        <v>158</v>
      </c>
      <c r="Y67" s="113"/>
      <c r="Z67" s="111"/>
      <c r="AA67" s="111"/>
      <c r="AB67" s="111"/>
    </row>
    <row r="68" spans="1:28" ht="16.899999999999999" customHeight="1" x14ac:dyDescent="0.25">
      <c r="A68" s="109"/>
      <c r="B68" s="77"/>
      <c r="C68" s="63"/>
      <c r="D68" s="67"/>
      <c r="E68" s="100"/>
      <c r="F68" s="61"/>
      <c r="G68" s="61"/>
      <c r="H68" s="61"/>
      <c r="I68" s="61"/>
      <c r="J68" s="62"/>
      <c r="K68" s="61"/>
      <c r="L68" s="61"/>
      <c r="M68" s="62"/>
      <c r="N68" s="61"/>
      <c r="O68" s="61"/>
      <c r="P68" s="62"/>
      <c r="Q68" s="110"/>
      <c r="R68" s="111"/>
      <c r="S68" s="111"/>
      <c r="T68" s="111"/>
      <c r="U68" s="111"/>
      <c r="V68" s="111"/>
      <c r="W68" s="112" t="s">
        <v>157</v>
      </c>
      <c r="X68" s="111" t="s">
        <v>158</v>
      </c>
      <c r="Y68" s="113"/>
      <c r="Z68" s="111"/>
      <c r="AA68" s="111"/>
      <c r="AB68" s="111"/>
    </row>
    <row r="69" spans="1:28" ht="16.899999999999999" customHeight="1" x14ac:dyDescent="0.25">
      <c r="A69" s="109"/>
      <c r="B69" s="77"/>
      <c r="C69" s="63"/>
      <c r="D69" s="67"/>
      <c r="E69" s="100"/>
      <c r="F69" s="61"/>
      <c r="G69" s="61"/>
      <c r="H69" s="61"/>
      <c r="I69" s="61"/>
      <c r="J69" s="62"/>
      <c r="K69" s="61"/>
      <c r="L69" s="61"/>
      <c r="M69" s="62"/>
      <c r="N69" s="61"/>
      <c r="O69" s="61"/>
      <c r="P69" s="62"/>
      <c r="Q69" s="110"/>
      <c r="R69" s="111"/>
      <c r="S69" s="111"/>
      <c r="T69" s="111"/>
      <c r="U69" s="111"/>
      <c r="V69" s="111"/>
      <c r="W69" s="112" t="s">
        <v>157</v>
      </c>
      <c r="X69" s="111" t="s">
        <v>158</v>
      </c>
      <c r="Y69" s="113"/>
      <c r="Z69" s="111"/>
      <c r="AA69" s="111"/>
      <c r="AB69" s="111"/>
    </row>
    <row r="70" spans="1:28" ht="16.899999999999999" customHeight="1" x14ac:dyDescent="0.25">
      <c r="A70" s="109"/>
      <c r="B70" s="77"/>
      <c r="C70" s="63"/>
      <c r="D70" s="67"/>
      <c r="E70" s="100"/>
      <c r="F70" s="61"/>
      <c r="G70" s="61"/>
      <c r="H70" s="61"/>
      <c r="I70" s="61"/>
      <c r="J70" s="62"/>
      <c r="K70" s="61"/>
      <c r="L70" s="61"/>
      <c r="M70" s="62"/>
      <c r="N70" s="61"/>
      <c r="O70" s="61"/>
      <c r="P70" s="62"/>
      <c r="Q70" s="110"/>
      <c r="R70" s="111"/>
      <c r="S70" s="111"/>
      <c r="T70" s="111"/>
      <c r="U70" s="111"/>
      <c r="V70" s="111"/>
      <c r="W70" s="112" t="s">
        <v>157</v>
      </c>
      <c r="X70" s="111" t="s">
        <v>158</v>
      </c>
      <c r="Y70" s="113"/>
      <c r="Z70" s="111"/>
      <c r="AA70" s="111"/>
      <c r="AB70" s="111"/>
    </row>
    <row r="71" spans="1:28" ht="16.899999999999999" customHeight="1" x14ac:dyDescent="0.25">
      <c r="A71" s="109"/>
      <c r="B71" s="77"/>
      <c r="C71" s="63"/>
      <c r="D71" s="67"/>
      <c r="E71" s="100"/>
      <c r="F71" s="61"/>
      <c r="G71" s="61"/>
      <c r="H71" s="61"/>
      <c r="I71" s="61"/>
      <c r="J71" s="62"/>
      <c r="K71" s="61"/>
      <c r="L71" s="61"/>
      <c r="M71" s="62"/>
      <c r="N71" s="61"/>
      <c r="O71" s="61"/>
      <c r="P71" s="62"/>
      <c r="Q71" s="110"/>
      <c r="R71" s="111"/>
      <c r="S71" s="111"/>
      <c r="T71" s="111"/>
      <c r="U71" s="111"/>
      <c r="V71" s="111"/>
      <c r="W71" s="112" t="s">
        <v>157</v>
      </c>
      <c r="X71" s="111" t="s">
        <v>158</v>
      </c>
      <c r="Y71" s="113"/>
      <c r="Z71" s="111"/>
      <c r="AA71" s="111"/>
      <c r="AB71" s="111"/>
    </row>
    <row r="72" spans="1:28" ht="16.899999999999999" customHeight="1" x14ac:dyDescent="0.25">
      <c r="A72" s="109"/>
      <c r="B72" s="77"/>
      <c r="C72" s="63"/>
      <c r="D72" s="67"/>
      <c r="E72" s="100"/>
      <c r="F72" s="61"/>
      <c r="G72" s="61"/>
      <c r="H72" s="61"/>
      <c r="I72" s="61"/>
      <c r="J72" s="62"/>
      <c r="K72" s="61"/>
      <c r="L72" s="61"/>
      <c r="M72" s="62"/>
      <c r="N72" s="61"/>
      <c r="O72" s="61"/>
      <c r="P72" s="62"/>
      <c r="Q72" s="110"/>
      <c r="R72" s="111"/>
      <c r="S72" s="111"/>
      <c r="T72" s="111"/>
      <c r="U72" s="111"/>
      <c r="V72" s="111"/>
      <c r="W72" s="112" t="s">
        <v>157</v>
      </c>
      <c r="X72" s="111" t="s">
        <v>158</v>
      </c>
      <c r="Y72" s="113"/>
      <c r="Z72" s="111"/>
      <c r="AA72" s="111"/>
      <c r="AB72" s="111"/>
    </row>
    <row r="73" spans="1:28" ht="16.899999999999999" customHeight="1" x14ac:dyDescent="0.25">
      <c r="A73" s="109"/>
      <c r="B73" s="77"/>
      <c r="C73" s="63"/>
      <c r="D73" s="67"/>
      <c r="E73" s="100"/>
      <c r="F73" s="61"/>
      <c r="G73" s="61"/>
      <c r="H73" s="61"/>
      <c r="I73" s="61"/>
      <c r="J73" s="62"/>
      <c r="K73" s="61"/>
      <c r="L73" s="61"/>
      <c r="M73" s="62"/>
      <c r="N73" s="61"/>
      <c r="O73" s="61"/>
      <c r="P73" s="62"/>
      <c r="Q73" s="110"/>
      <c r="R73" s="111"/>
      <c r="S73" s="111"/>
      <c r="T73" s="111"/>
      <c r="U73" s="111"/>
      <c r="V73" s="111"/>
      <c r="W73" s="112" t="s">
        <v>157</v>
      </c>
      <c r="X73" s="111" t="s">
        <v>158</v>
      </c>
      <c r="Y73" s="113"/>
      <c r="Z73" s="111"/>
      <c r="AA73" s="111"/>
      <c r="AB73" s="111"/>
    </row>
    <row r="74" spans="1:28" ht="16.899999999999999" customHeight="1" x14ac:dyDescent="0.25">
      <c r="A74" s="109"/>
      <c r="B74" s="77"/>
      <c r="C74" s="63"/>
      <c r="D74" s="67"/>
      <c r="E74" s="100"/>
      <c r="F74" s="61"/>
      <c r="G74" s="61"/>
      <c r="H74" s="61"/>
      <c r="I74" s="61"/>
      <c r="J74" s="62"/>
      <c r="K74" s="61"/>
      <c r="L74" s="61"/>
      <c r="M74" s="62"/>
      <c r="N74" s="61"/>
      <c r="O74" s="61"/>
      <c r="P74" s="62"/>
      <c r="Q74" s="110"/>
      <c r="R74" s="111"/>
      <c r="S74" s="111"/>
      <c r="T74" s="111"/>
      <c r="U74" s="111"/>
      <c r="V74" s="111"/>
      <c r="W74" s="112" t="s">
        <v>157</v>
      </c>
      <c r="X74" s="111" t="s">
        <v>158</v>
      </c>
      <c r="Y74" s="113"/>
      <c r="Z74" s="111"/>
      <c r="AA74" s="111"/>
      <c r="AB74" s="111"/>
    </row>
    <row r="75" spans="1:28" ht="16.899999999999999" customHeight="1" x14ac:dyDescent="0.25">
      <c r="A75" s="109"/>
      <c r="B75" s="77"/>
      <c r="C75" s="63"/>
      <c r="D75" s="67"/>
      <c r="E75" s="100"/>
      <c r="F75" s="61"/>
      <c r="G75" s="61"/>
      <c r="H75" s="61"/>
      <c r="I75" s="61"/>
      <c r="J75" s="62"/>
      <c r="K75" s="61"/>
      <c r="L75" s="61"/>
      <c r="M75" s="62"/>
      <c r="N75" s="61"/>
      <c r="O75" s="61"/>
      <c r="P75" s="62"/>
      <c r="Q75" s="110"/>
      <c r="R75" s="111"/>
      <c r="S75" s="111"/>
      <c r="T75" s="111"/>
      <c r="U75" s="111"/>
      <c r="V75" s="111"/>
      <c r="W75" s="112" t="s">
        <v>157</v>
      </c>
      <c r="X75" s="111" t="s">
        <v>158</v>
      </c>
      <c r="Y75" s="113"/>
      <c r="Z75" s="111"/>
      <c r="AA75" s="111"/>
      <c r="AB75" s="111"/>
    </row>
    <row r="76" spans="1:28" ht="16.899999999999999" customHeight="1" x14ac:dyDescent="0.25">
      <c r="A76" s="109"/>
      <c r="B76" s="77"/>
      <c r="C76" s="63"/>
      <c r="D76" s="67"/>
      <c r="E76" s="100"/>
      <c r="F76" s="61"/>
      <c r="G76" s="61"/>
      <c r="H76" s="61"/>
      <c r="I76" s="61"/>
      <c r="J76" s="62"/>
      <c r="K76" s="61"/>
      <c r="L76" s="61"/>
      <c r="M76" s="62"/>
      <c r="N76" s="61"/>
      <c r="O76" s="61"/>
      <c r="P76" s="62"/>
      <c r="Q76" s="110"/>
      <c r="R76" s="111"/>
      <c r="S76" s="111"/>
      <c r="T76" s="111"/>
      <c r="U76" s="111"/>
      <c r="V76" s="111"/>
      <c r="W76" s="112" t="s">
        <v>157</v>
      </c>
      <c r="X76" s="111" t="s">
        <v>158</v>
      </c>
      <c r="Y76" s="113"/>
      <c r="Z76" s="111"/>
      <c r="AA76" s="111"/>
      <c r="AB76" s="111"/>
    </row>
    <row r="77" spans="1:28" ht="16.899999999999999" customHeight="1" x14ac:dyDescent="0.25">
      <c r="A77" s="109"/>
      <c r="B77" s="77"/>
      <c r="C77" s="63"/>
      <c r="D77" s="67"/>
      <c r="E77" s="100"/>
      <c r="F77" s="61"/>
      <c r="G77" s="61"/>
      <c r="H77" s="61"/>
      <c r="I77" s="61"/>
      <c r="J77" s="62"/>
      <c r="K77" s="61"/>
      <c r="L77" s="61"/>
      <c r="M77" s="62"/>
      <c r="N77" s="61"/>
      <c r="O77" s="61"/>
      <c r="P77" s="62"/>
      <c r="Q77" s="110"/>
      <c r="R77" s="111"/>
      <c r="S77" s="111"/>
      <c r="T77" s="111"/>
      <c r="U77" s="111"/>
      <c r="V77" s="111"/>
      <c r="W77" s="112" t="s">
        <v>157</v>
      </c>
      <c r="X77" s="111" t="s">
        <v>158</v>
      </c>
      <c r="Y77" s="113"/>
      <c r="Z77" s="111"/>
      <c r="AA77" s="111"/>
      <c r="AB77" s="111"/>
    </row>
    <row r="78" spans="1:28" ht="16.899999999999999" customHeight="1" x14ac:dyDescent="0.25">
      <c r="A78" s="109"/>
      <c r="B78" s="77"/>
      <c r="C78" s="63"/>
      <c r="D78" s="67"/>
      <c r="E78" s="100"/>
      <c r="F78" s="61"/>
      <c r="G78" s="61"/>
      <c r="H78" s="61"/>
      <c r="I78" s="61"/>
      <c r="J78" s="62"/>
      <c r="K78" s="61"/>
      <c r="L78" s="61"/>
      <c r="M78" s="62"/>
      <c r="N78" s="61"/>
      <c r="O78" s="61"/>
      <c r="P78" s="62"/>
      <c r="Q78" s="110"/>
      <c r="R78" s="111"/>
      <c r="S78" s="111"/>
      <c r="T78" s="111"/>
      <c r="U78" s="111"/>
      <c r="V78" s="111"/>
      <c r="W78" s="112" t="s">
        <v>157</v>
      </c>
      <c r="X78" s="111" t="s">
        <v>158</v>
      </c>
      <c r="Y78" s="113"/>
      <c r="Z78" s="111"/>
      <c r="AA78" s="111"/>
      <c r="AB78" s="111"/>
    </row>
    <row r="79" spans="1:28" ht="16.899999999999999" customHeight="1" x14ac:dyDescent="0.25">
      <c r="A79" s="109"/>
      <c r="B79" s="77"/>
      <c r="C79" s="63"/>
      <c r="D79" s="67"/>
      <c r="E79" s="100"/>
      <c r="F79" s="61"/>
      <c r="G79" s="61"/>
      <c r="H79" s="61"/>
      <c r="I79" s="61"/>
      <c r="J79" s="62"/>
      <c r="K79" s="61"/>
      <c r="L79" s="61"/>
      <c r="M79" s="62"/>
      <c r="N79" s="61"/>
      <c r="O79" s="61"/>
      <c r="P79" s="62"/>
      <c r="Q79" s="110"/>
      <c r="R79" s="111"/>
      <c r="S79" s="111"/>
      <c r="T79" s="111"/>
      <c r="U79" s="111"/>
      <c r="V79" s="111"/>
      <c r="W79" s="112" t="s">
        <v>157</v>
      </c>
      <c r="X79" s="111" t="s">
        <v>158</v>
      </c>
      <c r="Y79" s="113"/>
      <c r="Z79" s="111"/>
      <c r="AA79" s="111"/>
      <c r="AB79" s="111"/>
    </row>
    <row r="80" spans="1:28" ht="16.899999999999999" customHeight="1" x14ac:dyDescent="0.25">
      <c r="A80" s="109"/>
      <c r="B80" s="77"/>
      <c r="C80" s="63"/>
      <c r="D80" s="67"/>
      <c r="E80" s="100"/>
      <c r="F80" s="61"/>
      <c r="G80" s="61"/>
      <c r="H80" s="61"/>
      <c r="I80" s="61"/>
      <c r="J80" s="62"/>
      <c r="K80" s="61"/>
      <c r="L80" s="61"/>
      <c r="M80" s="62"/>
      <c r="N80" s="61"/>
      <c r="O80" s="61"/>
      <c r="P80" s="62"/>
      <c r="Q80" s="110"/>
      <c r="R80" s="111"/>
      <c r="S80" s="111"/>
      <c r="T80" s="111"/>
      <c r="U80" s="111"/>
      <c r="V80" s="111"/>
      <c r="W80" s="112" t="s">
        <v>157</v>
      </c>
      <c r="X80" s="111" t="s">
        <v>158</v>
      </c>
      <c r="Y80" s="113"/>
      <c r="Z80" s="111"/>
      <c r="AA80" s="111"/>
      <c r="AB80" s="111"/>
    </row>
    <row r="81" spans="1:28" ht="16.899999999999999" customHeight="1" x14ac:dyDescent="0.25">
      <c r="A81" s="109"/>
      <c r="B81" s="77"/>
      <c r="C81" s="63"/>
      <c r="D81" s="67"/>
      <c r="E81" s="100"/>
      <c r="F81" s="61"/>
      <c r="G81" s="61"/>
      <c r="H81" s="61"/>
      <c r="I81" s="61"/>
      <c r="J81" s="62"/>
      <c r="K81" s="61"/>
      <c r="L81" s="61"/>
      <c r="M81" s="62"/>
      <c r="N81" s="61"/>
      <c r="O81" s="61"/>
      <c r="P81" s="62"/>
      <c r="Q81" s="110"/>
      <c r="R81" s="111"/>
      <c r="S81" s="111"/>
      <c r="T81" s="111"/>
      <c r="U81" s="111"/>
      <c r="V81" s="111"/>
      <c r="W81" s="112" t="s">
        <v>157</v>
      </c>
      <c r="X81" s="111" t="s">
        <v>158</v>
      </c>
      <c r="Y81" s="113"/>
      <c r="Z81" s="111"/>
      <c r="AA81" s="111"/>
      <c r="AB81" s="111"/>
    </row>
    <row r="82" spans="1:28" ht="16.899999999999999" customHeight="1" x14ac:dyDescent="0.25">
      <c r="A82" s="109"/>
      <c r="B82" s="77"/>
      <c r="C82" s="63"/>
      <c r="D82" s="67"/>
      <c r="E82" s="100"/>
      <c r="F82" s="61"/>
      <c r="G82" s="61"/>
      <c r="H82" s="61"/>
      <c r="I82" s="61"/>
      <c r="J82" s="62"/>
      <c r="K82" s="61"/>
      <c r="L82" s="61"/>
      <c r="M82" s="62"/>
      <c r="N82" s="61"/>
      <c r="O82" s="61"/>
      <c r="P82" s="62"/>
      <c r="Q82" s="110"/>
      <c r="R82" s="111"/>
      <c r="S82" s="111"/>
      <c r="T82" s="111"/>
      <c r="U82" s="111"/>
      <c r="V82" s="111"/>
      <c r="W82" s="112" t="s">
        <v>157</v>
      </c>
      <c r="X82" s="111" t="s">
        <v>158</v>
      </c>
      <c r="Y82" s="113"/>
      <c r="Z82" s="111"/>
      <c r="AA82" s="111"/>
      <c r="AB82" s="111"/>
    </row>
    <row r="83" spans="1:28" ht="16.899999999999999" customHeight="1" x14ac:dyDescent="0.25">
      <c r="A83" s="109"/>
      <c r="B83" s="77"/>
      <c r="C83" s="63"/>
      <c r="D83" s="67"/>
      <c r="E83" s="100"/>
      <c r="F83" s="61"/>
      <c r="G83" s="61"/>
      <c r="H83" s="61"/>
      <c r="I83" s="61"/>
      <c r="J83" s="62"/>
      <c r="K83" s="61"/>
      <c r="L83" s="61"/>
      <c r="M83" s="62"/>
      <c r="N83" s="61"/>
      <c r="O83" s="61"/>
      <c r="P83" s="62"/>
      <c r="Q83" s="110"/>
      <c r="R83" s="111"/>
      <c r="S83" s="111"/>
      <c r="T83" s="111"/>
      <c r="U83" s="111"/>
      <c r="V83" s="111"/>
      <c r="W83" s="112" t="s">
        <v>157</v>
      </c>
      <c r="X83" s="111" t="s">
        <v>158</v>
      </c>
      <c r="Y83" s="113"/>
      <c r="Z83" s="111"/>
      <c r="AA83" s="111"/>
      <c r="AB83" s="111"/>
    </row>
    <row r="84" spans="1:28" ht="16.899999999999999" customHeight="1" x14ac:dyDescent="0.25">
      <c r="A84" s="109"/>
      <c r="B84" s="77"/>
      <c r="C84" s="63"/>
      <c r="D84" s="67"/>
      <c r="E84" s="100"/>
      <c r="F84" s="61"/>
      <c r="G84" s="61"/>
      <c r="H84" s="61"/>
      <c r="I84" s="61"/>
      <c r="J84" s="62"/>
      <c r="K84" s="61"/>
      <c r="L84" s="61"/>
      <c r="M84" s="62"/>
      <c r="N84" s="61"/>
      <c r="O84" s="61"/>
      <c r="P84" s="62"/>
      <c r="Q84" s="110"/>
      <c r="R84" s="111"/>
      <c r="S84" s="111"/>
      <c r="T84" s="111"/>
      <c r="U84" s="111"/>
      <c r="V84" s="111"/>
      <c r="W84" s="112" t="s">
        <v>157</v>
      </c>
      <c r="X84" s="111" t="s">
        <v>158</v>
      </c>
      <c r="Y84" s="113"/>
      <c r="Z84" s="111"/>
      <c r="AA84" s="111"/>
      <c r="AB84" s="111"/>
    </row>
    <row r="85" spans="1:28" ht="16.899999999999999" customHeight="1" x14ac:dyDescent="0.25">
      <c r="A85" s="109"/>
      <c r="B85" s="77"/>
      <c r="C85" s="63"/>
      <c r="D85" s="67"/>
      <c r="E85" s="100"/>
      <c r="F85" s="61"/>
      <c r="G85" s="61"/>
      <c r="H85" s="61"/>
      <c r="I85" s="61"/>
      <c r="J85" s="62"/>
      <c r="K85" s="61"/>
      <c r="L85" s="61"/>
      <c r="M85" s="62"/>
      <c r="N85" s="61"/>
      <c r="O85" s="61"/>
      <c r="P85" s="62"/>
      <c r="Q85" s="110"/>
      <c r="R85" s="111"/>
      <c r="S85" s="111"/>
      <c r="T85" s="111"/>
      <c r="U85" s="111"/>
      <c r="V85" s="111"/>
      <c r="W85" s="112" t="s">
        <v>157</v>
      </c>
      <c r="X85" s="111" t="s">
        <v>158</v>
      </c>
      <c r="Y85" s="113"/>
      <c r="Z85" s="111"/>
      <c r="AA85" s="111"/>
      <c r="AB85" s="111"/>
    </row>
    <row r="86" spans="1:28" ht="16.899999999999999" customHeight="1" x14ac:dyDescent="0.25">
      <c r="A86" s="109"/>
      <c r="B86" s="77"/>
      <c r="C86" s="63"/>
      <c r="D86" s="67"/>
      <c r="E86" s="100"/>
      <c r="F86" s="61"/>
      <c r="G86" s="61"/>
      <c r="H86" s="61"/>
      <c r="I86" s="61"/>
      <c r="J86" s="62"/>
      <c r="K86" s="61"/>
      <c r="L86" s="61"/>
      <c r="M86" s="62"/>
      <c r="N86" s="61"/>
      <c r="O86" s="61"/>
      <c r="P86" s="62"/>
      <c r="Q86" s="110"/>
      <c r="R86" s="111"/>
      <c r="S86" s="111"/>
      <c r="T86" s="111"/>
      <c r="U86" s="111"/>
      <c r="V86" s="111"/>
      <c r="W86" s="112" t="s">
        <v>157</v>
      </c>
      <c r="X86" s="111" t="s">
        <v>158</v>
      </c>
      <c r="Y86" s="113"/>
      <c r="Z86" s="111"/>
      <c r="AA86" s="111"/>
      <c r="AB86" s="111"/>
    </row>
    <row r="87" spans="1:28" ht="16.899999999999999" customHeight="1" x14ac:dyDescent="0.25">
      <c r="A87" s="109"/>
      <c r="B87" s="77"/>
      <c r="C87" s="63"/>
      <c r="D87" s="67"/>
      <c r="E87" s="100"/>
      <c r="F87" s="61"/>
      <c r="G87" s="61"/>
      <c r="H87" s="61"/>
      <c r="I87" s="61"/>
      <c r="J87" s="62"/>
      <c r="K87" s="61"/>
      <c r="L87" s="61"/>
      <c r="M87" s="62"/>
      <c r="N87" s="61"/>
      <c r="O87" s="61"/>
      <c r="P87" s="62"/>
      <c r="Q87" s="110"/>
      <c r="R87" s="111"/>
      <c r="S87" s="111"/>
      <c r="T87" s="111"/>
      <c r="U87" s="111"/>
      <c r="V87" s="111"/>
      <c r="W87" s="112" t="s">
        <v>157</v>
      </c>
      <c r="X87" s="111" t="s">
        <v>158</v>
      </c>
      <c r="Y87" s="113"/>
      <c r="Z87" s="111"/>
      <c r="AA87" s="111"/>
      <c r="AB87" s="111"/>
    </row>
    <row r="88" spans="1:28" ht="16.899999999999999" customHeight="1" x14ac:dyDescent="0.25">
      <c r="A88" s="109"/>
      <c r="B88" s="77"/>
      <c r="C88" s="63"/>
      <c r="D88" s="67"/>
      <c r="E88" s="100"/>
      <c r="F88" s="61"/>
      <c r="G88" s="61"/>
      <c r="H88" s="61"/>
      <c r="I88" s="61"/>
      <c r="J88" s="62"/>
      <c r="K88" s="61"/>
      <c r="L88" s="61"/>
      <c r="M88" s="62"/>
      <c r="N88" s="61"/>
      <c r="O88" s="61"/>
      <c r="P88" s="62"/>
      <c r="Q88" s="110"/>
      <c r="R88" s="111"/>
      <c r="S88" s="111"/>
      <c r="T88" s="111"/>
      <c r="U88" s="111"/>
      <c r="V88" s="111"/>
      <c r="W88" s="112" t="s">
        <v>157</v>
      </c>
      <c r="X88" s="111" t="s">
        <v>158</v>
      </c>
      <c r="Y88" s="113"/>
      <c r="Z88" s="111"/>
      <c r="AA88" s="111"/>
      <c r="AB88" s="111"/>
    </row>
    <row r="89" spans="1:28" ht="16.899999999999999" customHeight="1" x14ac:dyDescent="0.25">
      <c r="A89" s="109"/>
      <c r="B89" s="77"/>
      <c r="C89" s="63"/>
      <c r="D89" s="67"/>
      <c r="E89" s="100"/>
      <c r="F89" s="61"/>
      <c r="G89" s="61"/>
      <c r="H89" s="61"/>
      <c r="I89" s="61"/>
      <c r="J89" s="62"/>
      <c r="K89" s="61"/>
      <c r="L89" s="61"/>
      <c r="M89" s="62"/>
      <c r="N89" s="61"/>
      <c r="O89" s="61"/>
      <c r="P89" s="62"/>
      <c r="Q89" s="110"/>
      <c r="R89" s="111"/>
      <c r="S89" s="111"/>
      <c r="T89" s="111"/>
      <c r="U89" s="111"/>
      <c r="V89" s="111"/>
      <c r="W89" s="112" t="s">
        <v>157</v>
      </c>
      <c r="X89" s="111" t="s">
        <v>158</v>
      </c>
      <c r="Y89" s="113"/>
      <c r="Z89" s="111"/>
      <c r="AA89" s="111"/>
      <c r="AB89" s="111"/>
    </row>
    <row r="90" spans="1:28" ht="16.899999999999999" customHeight="1" x14ac:dyDescent="0.25">
      <c r="A90" s="109"/>
      <c r="B90" s="77"/>
      <c r="C90" s="63"/>
      <c r="D90" s="67"/>
      <c r="E90" s="100"/>
      <c r="F90" s="61"/>
      <c r="G90" s="61"/>
      <c r="H90" s="61"/>
      <c r="I90" s="61"/>
      <c r="J90" s="62"/>
      <c r="K90" s="61"/>
      <c r="L90" s="61"/>
      <c r="M90" s="62"/>
      <c r="N90" s="61"/>
      <c r="O90" s="61"/>
      <c r="P90" s="62"/>
      <c r="Q90" s="110"/>
      <c r="R90" s="111"/>
      <c r="S90" s="111"/>
      <c r="T90" s="111"/>
      <c r="U90" s="111"/>
      <c r="V90" s="111"/>
      <c r="W90" s="112" t="s">
        <v>157</v>
      </c>
      <c r="X90" s="111" t="s">
        <v>158</v>
      </c>
      <c r="Y90" s="113"/>
      <c r="Z90" s="111"/>
      <c r="AA90" s="111"/>
      <c r="AB90" s="111"/>
    </row>
    <row r="91" spans="1:28" ht="16.899999999999999" customHeight="1" x14ac:dyDescent="0.25">
      <c r="A91" s="109"/>
      <c r="B91" s="77"/>
      <c r="C91" s="63"/>
      <c r="D91" s="67"/>
      <c r="E91" s="100"/>
      <c r="F91" s="61"/>
      <c r="G91" s="61"/>
      <c r="H91" s="61"/>
      <c r="I91" s="61"/>
      <c r="J91" s="62"/>
      <c r="K91" s="61"/>
      <c r="L91" s="61"/>
      <c r="M91" s="62"/>
      <c r="N91" s="61"/>
      <c r="O91" s="61"/>
      <c r="P91" s="62"/>
      <c r="Q91" s="110"/>
      <c r="R91" s="111"/>
      <c r="S91" s="111"/>
      <c r="T91" s="111"/>
      <c r="U91" s="111"/>
      <c r="V91" s="111"/>
      <c r="W91" s="112" t="s">
        <v>157</v>
      </c>
      <c r="X91" s="111" t="s">
        <v>158</v>
      </c>
      <c r="Y91" s="113"/>
      <c r="Z91" s="111"/>
      <c r="AA91" s="111"/>
      <c r="AB91" s="111"/>
    </row>
    <row r="92" spans="1:28" ht="16.899999999999999" customHeight="1" x14ac:dyDescent="0.25">
      <c r="A92" s="109"/>
      <c r="B92" s="77"/>
      <c r="C92" s="63"/>
      <c r="D92" s="67"/>
      <c r="E92" s="100"/>
      <c r="F92" s="61"/>
      <c r="G92" s="61"/>
      <c r="H92" s="61"/>
      <c r="I92" s="61"/>
      <c r="J92" s="62"/>
      <c r="K92" s="61"/>
      <c r="L92" s="61"/>
      <c r="M92" s="62"/>
      <c r="N92" s="61"/>
      <c r="O92" s="61"/>
      <c r="P92" s="62"/>
      <c r="Q92" s="110"/>
      <c r="R92" s="111"/>
      <c r="S92" s="111"/>
      <c r="T92" s="111"/>
      <c r="U92" s="111"/>
      <c r="V92" s="111"/>
      <c r="W92" s="112" t="s">
        <v>157</v>
      </c>
      <c r="X92" s="111" t="s">
        <v>158</v>
      </c>
      <c r="Y92" s="113"/>
      <c r="Z92" s="111"/>
      <c r="AA92" s="111"/>
      <c r="AB92" s="111"/>
    </row>
    <row r="93" spans="1:28" ht="16.899999999999999" customHeight="1" x14ac:dyDescent="0.25">
      <c r="A93" s="109"/>
      <c r="B93" s="77"/>
      <c r="C93" s="63"/>
      <c r="D93" s="67"/>
      <c r="E93" s="100"/>
      <c r="F93" s="61"/>
      <c r="G93" s="61"/>
      <c r="H93" s="61"/>
      <c r="I93" s="61"/>
      <c r="J93" s="62"/>
      <c r="K93" s="61"/>
      <c r="L93" s="61"/>
      <c r="M93" s="62"/>
      <c r="N93" s="61"/>
      <c r="O93" s="61"/>
      <c r="P93" s="62"/>
      <c r="Q93" s="110"/>
      <c r="R93" s="111"/>
      <c r="S93" s="111"/>
      <c r="T93" s="111"/>
      <c r="U93" s="111"/>
      <c r="V93" s="111"/>
      <c r="W93" s="112" t="s">
        <v>157</v>
      </c>
      <c r="X93" s="111" t="s">
        <v>158</v>
      </c>
      <c r="Y93" s="113"/>
      <c r="Z93" s="111"/>
      <c r="AA93" s="111"/>
      <c r="AB93" s="111"/>
    </row>
    <row r="94" spans="1:28" ht="16.899999999999999" customHeight="1" x14ac:dyDescent="0.25">
      <c r="A94" s="109"/>
      <c r="B94" s="77"/>
      <c r="C94" s="63"/>
      <c r="D94" s="67"/>
      <c r="E94" s="100"/>
      <c r="F94" s="61"/>
      <c r="G94" s="61"/>
      <c r="H94" s="61"/>
      <c r="I94" s="61"/>
      <c r="J94" s="62"/>
      <c r="K94" s="61"/>
      <c r="L94" s="61"/>
      <c r="M94" s="62"/>
      <c r="N94" s="61"/>
      <c r="O94" s="61"/>
      <c r="P94" s="62"/>
      <c r="Q94" s="110"/>
      <c r="R94" s="111"/>
      <c r="S94" s="111"/>
      <c r="T94" s="111"/>
      <c r="U94" s="111"/>
      <c r="V94" s="111"/>
      <c r="W94" s="112" t="s">
        <v>157</v>
      </c>
      <c r="X94" s="111" t="s">
        <v>158</v>
      </c>
      <c r="Y94" s="113"/>
      <c r="Z94" s="111"/>
      <c r="AA94" s="111"/>
      <c r="AB94" s="111"/>
    </row>
    <row r="95" spans="1:28" ht="16.899999999999999" customHeight="1" x14ac:dyDescent="0.25">
      <c r="A95" s="109"/>
      <c r="B95" s="77"/>
      <c r="C95" s="63"/>
      <c r="D95" s="67"/>
      <c r="E95" s="100"/>
      <c r="F95" s="61"/>
      <c r="G95" s="61"/>
      <c r="H95" s="61"/>
      <c r="I95" s="61"/>
      <c r="J95" s="62"/>
      <c r="K95" s="61"/>
      <c r="L95" s="61"/>
      <c r="M95" s="62"/>
      <c r="N95" s="61"/>
      <c r="O95" s="61"/>
      <c r="P95" s="62"/>
      <c r="Q95" s="110"/>
      <c r="R95" s="111"/>
      <c r="S95" s="111"/>
      <c r="T95" s="111"/>
      <c r="U95" s="111"/>
      <c r="V95" s="111"/>
      <c r="W95" s="112" t="s">
        <v>157</v>
      </c>
      <c r="X95" s="111" t="s">
        <v>158</v>
      </c>
      <c r="Y95" s="113"/>
      <c r="Z95" s="111"/>
      <c r="AA95" s="111"/>
      <c r="AB95" s="111"/>
    </row>
    <row r="96" spans="1:28" ht="16.899999999999999" customHeight="1" x14ac:dyDescent="0.25">
      <c r="A96" s="109"/>
      <c r="B96" s="77"/>
      <c r="C96" s="63"/>
      <c r="D96" s="67"/>
      <c r="E96" s="100"/>
      <c r="F96" s="61"/>
      <c r="G96" s="61"/>
      <c r="H96" s="61"/>
      <c r="I96" s="61"/>
      <c r="J96" s="62"/>
      <c r="K96" s="61"/>
      <c r="L96" s="61"/>
      <c r="M96" s="62"/>
      <c r="N96" s="61"/>
      <c r="O96" s="61"/>
      <c r="P96" s="62"/>
      <c r="Q96" s="110"/>
      <c r="R96" s="111"/>
      <c r="S96" s="111"/>
      <c r="T96" s="111"/>
      <c r="U96" s="111"/>
      <c r="V96" s="111"/>
      <c r="W96" s="112" t="s">
        <v>157</v>
      </c>
      <c r="X96" s="111" t="s">
        <v>158</v>
      </c>
      <c r="Y96" s="113"/>
      <c r="Z96" s="111"/>
      <c r="AA96" s="111"/>
      <c r="AB96" s="111"/>
    </row>
    <row r="97" spans="1:28" ht="16.899999999999999" customHeight="1" x14ac:dyDescent="0.25">
      <c r="A97" s="109"/>
      <c r="B97" s="77"/>
      <c r="C97" s="63"/>
      <c r="D97" s="67"/>
      <c r="E97" s="100"/>
      <c r="F97" s="61"/>
      <c r="G97" s="61"/>
      <c r="H97" s="61"/>
      <c r="I97" s="61"/>
      <c r="J97" s="62"/>
      <c r="K97" s="61"/>
      <c r="L97" s="61"/>
      <c r="M97" s="62"/>
      <c r="N97" s="61"/>
      <c r="O97" s="61"/>
      <c r="P97" s="62"/>
      <c r="Q97" s="110"/>
      <c r="R97" s="111"/>
      <c r="S97" s="111"/>
      <c r="T97" s="111"/>
      <c r="U97" s="111"/>
      <c r="V97" s="111"/>
      <c r="W97" s="112" t="s">
        <v>157</v>
      </c>
      <c r="X97" s="111" t="s">
        <v>158</v>
      </c>
      <c r="Y97" s="113"/>
      <c r="Z97" s="111"/>
      <c r="AA97" s="111"/>
      <c r="AB97" s="111"/>
    </row>
    <row r="98" spans="1:28" ht="16.899999999999999" customHeight="1" x14ac:dyDescent="0.25">
      <c r="A98" s="109"/>
      <c r="B98" s="77"/>
      <c r="C98" s="63"/>
      <c r="D98" s="67"/>
      <c r="E98" s="100"/>
      <c r="F98" s="61"/>
      <c r="G98" s="61"/>
      <c r="H98" s="61"/>
      <c r="I98" s="61"/>
      <c r="J98" s="62"/>
      <c r="K98" s="61"/>
      <c r="L98" s="61"/>
      <c r="M98" s="62"/>
      <c r="N98" s="61"/>
      <c r="O98" s="61"/>
      <c r="P98" s="62"/>
      <c r="Q98" s="110"/>
      <c r="R98" s="111"/>
      <c r="S98" s="111"/>
      <c r="T98" s="111"/>
      <c r="U98" s="111"/>
      <c r="V98" s="111"/>
      <c r="W98" s="112" t="s">
        <v>157</v>
      </c>
      <c r="X98" s="111" t="s">
        <v>158</v>
      </c>
      <c r="Y98" s="113"/>
      <c r="Z98" s="111"/>
      <c r="AA98" s="111"/>
      <c r="AB98" s="111"/>
    </row>
    <row r="99" spans="1:28" ht="16.899999999999999" customHeight="1" x14ac:dyDescent="0.25">
      <c r="A99" s="109"/>
      <c r="B99" s="77"/>
      <c r="C99" s="63"/>
      <c r="D99" s="67"/>
      <c r="E99" s="100"/>
      <c r="F99" s="61"/>
      <c r="G99" s="61"/>
      <c r="H99" s="61"/>
      <c r="I99" s="61"/>
      <c r="J99" s="62"/>
      <c r="K99" s="61"/>
      <c r="L99" s="61"/>
      <c r="M99" s="62"/>
      <c r="N99" s="61"/>
      <c r="O99" s="61"/>
      <c r="P99" s="62"/>
      <c r="Q99" s="110"/>
      <c r="R99" s="111"/>
      <c r="S99" s="111"/>
      <c r="T99" s="111"/>
      <c r="U99" s="111"/>
      <c r="V99" s="111"/>
      <c r="W99" s="112" t="s">
        <v>157</v>
      </c>
      <c r="X99" s="111" t="s">
        <v>158</v>
      </c>
      <c r="Y99" s="113"/>
      <c r="Z99" s="111"/>
      <c r="AA99" s="111"/>
      <c r="AB99" s="111"/>
    </row>
    <row r="100" spans="1:28" ht="16.899999999999999" customHeight="1" x14ac:dyDescent="0.25">
      <c r="A100" s="109"/>
      <c r="B100" s="77"/>
      <c r="C100" s="63"/>
      <c r="D100" s="67"/>
      <c r="E100" s="100"/>
      <c r="F100" s="61"/>
      <c r="G100" s="61"/>
      <c r="H100" s="61"/>
      <c r="I100" s="61"/>
      <c r="J100" s="62"/>
      <c r="K100" s="61"/>
      <c r="L100" s="61"/>
      <c r="M100" s="62"/>
      <c r="N100" s="61"/>
      <c r="O100" s="61"/>
      <c r="P100" s="62"/>
      <c r="Q100" s="110"/>
      <c r="R100" s="111"/>
      <c r="S100" s="111"/>
      <c r="T100" s="111"/>
      <c r="U100" s="111"/>
      <c r="V100" s="111"/>
      <c r="W100" s="112" t="s">
        <v>157</v>
      </c>
      <c r="X100" s="111" t="s">
        <v>158</v>
      </c>
      <c r="Y100" s="113"/>
      <c r="Z100" s="111"/>
      <c r="AA100" s="111"/>
      <c r="AB100" s="111"/>
    </row>
    <row r="101" spans="1:28" ht="16.899999999999999" customHeight="1" x14ac:dyDescent="0.25">
      <c r="A101" s="66"/>
      <c r="B101" s="77"/>
      <c r="C101" s="63"/>
      <c r="D101" s="67"/>
      <c r="E101" s="100"/>
      <c r="F101" s="61"/>
      <c r="G101" s="61"/>
      <c r="H101" s="61"/>
      <c r="I101" s="61"/>
      <c r="J101" s="62"/>
      <c r="K101" s="61"/>
      <c r="L101" s="61"/>
      <c r="M101" s="62"/>
      <c r="N101" s="104"/>
      <c r="O101" s="61"/>
      <c r="P101" s="62"/>
      <c r="Q101" s="73"/>
      <c r="R101" s="68"/>
      <c r="S101" s="68"/>
      <c r="T101" s="68"/>
      <c r="U101" s="68"/>
      <c r="V101" s="68"/>
      <c r="W101" s="69"/>
      <c r="X101" s="68"/>
      <c r="Y101" s="70"/>
      <c r="Z101" s="68"/>
      <c r="AA101" s="68"/>
      <c r="AB101" s="68"/>
    </row>
    <row r="102" spans="1:28" ht="16.899999999999999" customHeight="1" x14ac:dyDescent="0.25">
      <c r="A102" s="66"/>
      <c r="B102" s="77"/>
      <c r="C102" s="63"/>
      <c r="D102" s="67"/>
      <c r="E102" s="100"/>
      <c r="F102" s="61"/>
      <c r="G102" s="61"/>
      <c r="H102" s="61"/>
      <c r="I102" s="61"/>
      <c r="J102" s="62"/>
      <c r="K102" s="61"/>
      <c r="L102" s="61"/>
      <c r="M102" s="62"/>
      <c r="N102" s="104"/>
      <c r="O102" s="61"/>
      <c r="P102" s="62"/>
      <c r="Q102" s="73"/>
      <c r="R102" s="68"/>
      <c r="S102" s="68"/>
      <c r="T102" s="68"/>
      <c r="U102" s="68"/>
      <c r="V102" s="68"/>
      <c r="W102" s="69"/>
      <c r="X102" s="68"/>
      <c r="Y102" s="70"/>
      <c r="Z102" s="68"/>
      <c r="AA102" s="68"/>
      <c r="AB102" s="68"/>
    </row>
    <row r="103" spans="1:28" ht="16.899999999999999" customHeight="1" x14ac:dyDescent="0.25">
      <c r="A103" s="66"/>
      <c r="B103" s="77"/>
      <c r="C103" s="63"/>
      <c r="D103" s="67"/>
      <c r="E103" s="100"/>
      <c r="F103" s="61"/>
      <c r="G103" s="61"/>
      <c r="H103" s="61"/>
      <c r="I103" s="61"/>
      <c r="J103" s="62"/>
      <c r="K103" s="61"/>
      <c r="L103" s="61"/>
      <c r="M103" s="62"/>
      <c r="N103" s="104"/>
      <c r="O103" s="61"/>
      <c r="P103" s="62"/>
      <c r="Q103" s="73"/>
      <c r="R103" s="68"/>
      <c r="S103" s="68"/>
      <c r="T103" s="68"/>
      <c r="U103" s="68"/>
      <c r="V103" s="68"/>
      <c r="W103" s="69"/>
      <c r="X103" s="68"/>
      <c r="Y103" s="70"/>
      <c r="Z103" s="68"/>
      <c r="AA103" s="68"/>
      <c r="AB103" s="68"/>
    </row>
    <row r="104" spans="1:28" ht="16.899999999999999" customHeight="1" x14ac:dyDescent="0.25">
      <c r="A104" s="66"/>
      <c r="B104" s="77"/>
      <c r="C104" s="63"/>
      <c r="D104" s="67"/>
      <c r="E104" s="100"/>
      <c r="F104" s="61"/>
      <c r="G104" s="61"/>
      <c r="H104" s="61"/>
      <c r="I104" s="61"/>
      <c r="J104" s="62"/>
      <c r="K104" s="61"/>
      <c r="L104" s="61"/>
      <c r="M104" s="62"/>
      <c r="N104" s="104"/>
      <c r="O104" s="61"/>
      <c r="P104" s="62"/>
      <c r="Q104" s="73"/>
      <c r="R104" s="68"/>
      <c r="S104" s="68"/>
      <c r="T104" s="68"/>
      <c r="U104" s="68"/>
      <c r="V104" s="68"/>
      <c r="W104" s="69"/>
      <c r="X104" s="68"/>
      <c r="Y104" s="70"/>
      <c r="Z104" s="68"/>
      <c r="AA104" s="68"/>
      <c r="AB104" s="68"/>
    </row>
    <row r="105" spans="1:28" ht="16.899999999999999" customHeight="1" x14ac:dyDescent="0.25">
      <c r="A105" s="66"/>
      <c r="B105" s="77"/>
      <c r="C105" s="63"/>
      <c r="D105" s="67"/>
      <c r="E105" s="100"/>
      <c r="F105" s="61"/>
      <c r="G105" s="61"/>
      <c r="H105" s="61"/>
      <c r="I105" s="61"/>
      <c r="J105" s="62"/>
      <c r="K105" s="61"/>
      <c r="L105" s="61"/>
      <c r="M105" s="62"/>
      <c r="N105" s="104"/>
      <c r="O105" s="61"/>
      <c r="P105" s="62"/>
      <c r="Q105" s="73"/>
      <c r="R105" s="68"/>
      <c r="S105" s="68"/>
      <c r="T105" s="68"/>
      <c r="U105" s="68"/>
      <c r="V105" s="68"/>
      <c r="W105" s="69"/>
      <c r="X105" s="68"/>
      <c r="Y105" s="70"/>
      <c r="Z105" s="68"/>
      <c r="AA105" s="68"/>
      <c r="AB105" s="68"/>
    </row>
    <row r="106" spans="1:28" ht="16.899999999999999" customHeight="1" x14ac:dyDescent="0.25">
      <c r="A106" s="66"/>
      <c r="B106" s="77"/>
      <c r="C106" s="63"/>
      <c r="D106" s="67"/>
      <c r="E106" s="100"/>
      <c r="F106" s="61"/>
      <c r="G106" s="61"/>
      <c r="H106" s="61"/>
      <c r="I106" s="61"/>
      <c r="J106" s="62"/>
      <c r="K106" s="61"/>
      <c r="L106" s="61"/>
      <c r="M106" s="62"/>
      <c r="N106" s="104"/>
      <c r="O106" s="61"/>
      <c r="P106" s="62"/>
      <c r="Q106" s="73"/>
      <c r="R106" s="68"/>
      <c r="S106" s="68"/>
      <c r="T106" s="68"/>
      <c r="U106" s="68"/>
      <c r="V106" s="68"/>
      <c r="W106" s="69"/>
      <c r="X106" s="68"/>
      <c r="Y106" s="70"/>
      <c r="Z106" s="68"/>
      <c r="AA106" s="68"/>
      <c r="AB106" s="68"/>
    </row>
    <row r="107" spans="1:28" ht="16.899999999999999" customHeight="1" x14ac:dyDescent="0.25">
      <c r="A107" s="66"/>
      <c r="B107" s="77"/>
      <c r="C107" s="63"/>
      <c r="D107" s="67"/>
      <c r="E107" s="100"/>
      <c r="F107" s="61"/>
      <c r="G107" s="61"/>
      <c r="H107" s="61"/>
      <c r="I107" s="61"/>
      <c r="J107" s="62"/>
      <c r="K107" s="61"/>
      <c r="L107" s="61"/>
      <c r="M107" s="62"/>
      <c r="N107" s="104"/>
      <c r="O107" s="61"/>
      <c r="P107" s="62"/>
      <c r="Q107" s="73"/>
      <c r="R107" s="68"/>
      <c r="S107" s="68"/>
      <c r="T107" s="68"/>
      <c r="U107" s="68"/>
      <c r="V107" s="68"/>
      <c r="W107" s="69"/>
      <c r="X107" s="68"/>
      <c r="Y107" s="70"/>
      <c r="Z107" s="68"/>
      <c r="AA107" s="68"/>
      <c r="AB107" s="68"/>
    </row>
    <row r="108" spans="1:28" ht="16.899999999999999" customHeight="1" x14ac:dyDescent="0.25">
      <c r="A108" s="66"/>
      <c r="B108" s="77"/>
      <c r="C108" s="63"/>
      <c r="D108" s="67"/>
      <c r="E108" s="100"/>
      <c r="F108" s="61"/>
      <c r="G108" s="61"/>
      <c r="H108" s="61"/>
      <c r="I108" s="61"/>
      <c r="J108" s="62"/>
      <c r="K108" s="61"/>
      <c r="L108" s="61"/>
      <c r="M108" s="62"/>
      <c r="N108" s="104"/>
      <c r="O108" s="61"/>
      <c r="P108" s="62"/>
      <c r="Q108" s="73"/>
      <c r="R108" s="68"/>
      <c r="S108" s="68"/>
      <c r="T108" s="68"/>
      <c r="U108" s="68"/>
      <c r="V108" s="68"/>
      <c r="W108" s="69"/>
      <c r="X108" s="68"/>
      <c r="Y108" s="70"/>
      <c r="Z108" s="68"/>
      <c r="AA108" s="68"/>
      <c r="AB108" s="68"/>
    </row>
    <row r="109" spans="1:28" ht="16.899999999999999" customHeight="1" x14ac:dyDescent="0.25">
      <c r="A109" s="66"/>
      <c r="B109" s="77"/>
      <c r="C109" s="63"/>
      <c r="D109" s="67"/>
      <c r="E109" s="100"/>
      <c r="F109" s="61"/>
      <c r="G109" s="61"/>
      <c r="H109" s="61"/>
      <c r="I109" s="61"/>
      <c r="J109" s="62"/>
      <c r="K109" s="61"/>
      <c r="L109" s="61"/>
      <c r="M109" s="62"/>
      <c r="N109" s="104"/>
      <c r="O109" s="61"/>
      <c r="P109" s="62"/>
      <c r="Q109" s="73"/>
      <c r="R109" s="68"/>
      <c r="S109" s="68"/>
      <c r="T109" s="68"/>
      <c r="U109" s="68"/>
      <c r="V109" s="68"/>
      <c r="W109" s="69"/>
      <c r="X109" s="68"/>
      <c r="Y109" s="70"/>
      <c r="Z109" s="68"/>
      <c r="AA109" s="68"/>
      <c r="AB109" s="68"/>
    </row>
    <row r="110" spans="1:28" ht="16.899999999999999" customHeight="1" x14ac:dyDescent="0.25">
      <c r="A110" s="66"/>
      <c r="B110" s="77"/>
      <c r="C110" s="63"/>
      <c r="D110" s="67"/>
      <c r="E110" s="100"/>
      <c r="F110" s="61"/>
      <c r="G110" s="61"/>
      <c r="H110" s="61"/>
      <c r="I110" s="61"/>
      <c r="J110" s="62"/>
      <c r="K110" s="61"/>
      <c r="L110" s="61"/>
      <c r="M110" s="62"/>
      <c r="N110" s="104"/>
      <c r="O110" s="61"/>
      <c r="P110" s="62"/>
      <c r="Q110" s="73"/>
      <c r="R110" s="68"/>
      <c r="S110" s="68"/>
      <c r="T110" s="68"/>
      <c r="U110" s="68"/>
      <c r="V110" s="68"/>
      <c r="W110" s="69"/>
      <c r="X110" s="68"/>
      <c r="Y110" s="70"/>
      <c r="Z110" s="68"/>
      <c r="AA110" s="68"/>
      <c r="AB110" s="68"/>
    </row>
    <row r="111" spans="1:28" ht="16.899999999999999" customHeight="1" x14ac:dyDescent="0.25">
      <c r="A111" s="66"/>
      <c r="B111" s="77"/>
      <c r="C111" s="63"/>
      <c r="D111" s="67"/>
      <c r="E111" s="100"/>
      <c r="F111" s="61"/>
      <c r="G111" s="61"/>
      <c r="H111" s="61"/>
      <c r="I111" s="61"/>
      <c r="J111" s="62"/>
      <c r="K111" s="61"/>
      <c r="L111" s="61"/>
      <c r="M111" s="62"/>
      <c r="N111" s="104"/>
      <c r="O111" s="61"/>
      <c r="P111" s="62"/>
      <c r="Q111" s="73"/>
      <c r="R111" s="68"/>
      <c r="S111" s="68"/>
      <c r="T111" s="68"/>
      <c r="U111" s="68"/>
      <c r="V111" s="68"/>
      <c r="W111" s="69"/>
      <c r="X111" s="68"/>
      <c r="Y111" s="70"/>
      <c r="Z111" s="68"/>
      <c r="AA111" s="68"/>
      <c r="AB111" s="68"/>
    </row>
    <row r="112" spans="1:28" ht="16.899999999999999" customHeight="1" x14ac:dyDescent="0.25">
      <c r="A112" s="66"/>
      <c r="B112" s="77"/>
      <c r="C112" s="63"/>
      <c r="D112" s="67"/>
      <c r="E112" s="100"/>
      <c r="F112" s="61"/>
      <c r="G112" s="61"/>
      <c r="H112" s="61"/>
      <c r="I112" s="61"/>
      <c r="J112" s="62"/>
      <c r="K112" s="61"/>
      <c r="L112" s="61"/>
      <c r="M112" s="62"/>
      <c r="N112" s="104"/>
      <c r="O112" s="61"/>
      <c r="P112" s="62"/>
      <c r="Q112" s="73"/>
      <c r="R112" s="68"/>
      <c r="S112" s="68"/>
      <c r="T112" s="68"/>
      <c r="U112" s="68"/>
      <c r="V112" s="68"/>
      <c r="W112" s="69"/>
      <c r="X112" s="68"/>
      <c r="Y112" s="70"/>
      <c r="Z112" s="68"/>
      <c r="AA112" s="68"/>
      <c r="AB112" s="68"/>
    </row>
    <row r="113" spans="1:28" ht="16.899999999999999" customHeight="1" x14ac:dyDescent="0.25">
      <c r="A113" s="66"/>
      <c r="B113" s="77"/>
      <c r="C113" s="63"/>
      <c r="D113" s="67"/>
      <c r="E113" s="100"/>
      <c r="F113" s="61"/>
      <c r="G113" s="61"/>
      <c r="H113" s="61"/>
      <c r="I113" s="61"/>
      <c r="J113" s="62"/>
      <c r="K113" s="61"/>
      <c r="L113" s="61"/>
      <c r="M113" s="62"/>
      <c r="N113" s="104"/>
      <c r="O113" s="61"/>
      <c r="P113" s="62"/>
      <c r="Q113" s="73"/>
      <c r="R113" s="68"/>
      <c r="S113" s="68"/>
      <c r="T113" s="68"/>
      <c r="U113" s="68"/>
      <c r="V113" s="68"/>
      <c r="W113" s="69"/>
      <c r="X113" s="68"/>
      <c r="Y113" s="70"/>
      <c r="Z113" s="68"/>
      <c r="AA113" s="68"/>
      <c r="AB113" s="68"/>
    </row>
    <row r="114" spans="1:28" ht="16.899999999999999" customHeight="1" x14ac:dyDescent="0.25">
      <c r="A114" s="66"/>
      <c r="B114" s="77"/>
      <c r="C114" s="63"/>
      <c r="D114" s="67"/>
      <c r="E114" s="100"/>
      <c r="F114" s="61"/>
      <c r="G114" s="61"/>
      <c r="H114" s="61"/>
      <c r="I114" s="61"/>
      <c r="J114" s="62"/>
      <c r="K114" s="61"/>
      <c r="L114" s="61"/>
      <c r="M114" s="62"/>
      <c r="N114" s="104"/>
      <c r="O114" s="61"/>
      <c r="P114" s="62"/>
      <c r="Q114" s="73"/>
      <c r="R114" s="68"/>
      <c r="S114" s="68"/>
      <c r="T114" s="68"/>
      <c r="U114" s="68"/>
      <c r="V114" s="68"/>
      <c r="W114" s="69"/>
      <c r="X114" s="68"/>
      <c r="Y114" s="70"/>
      <c r="Z114" s="68"/>
      <c r="AA114" s="68"/>
      <c r="AB114" s="68"/>
    </row>
    <row r="115" spans="1:28" ht="16.899999999999999" customHeight="1" x14ac:dyDescent="0.25">
      <c r="A115" s="66"/>
      <c r="B115" s="77"/>
      <c r="C115" s="63"/>
      <c r="D115" s="67"/>
      <c r="E115" s="100"/>
      <c r="F115" s="61"/>
      <c r="G115" s="61"/>
      <c r="H115" s="61"/>
      <c r="I115" s="61"/>
      <c r="J115" s="62"/>
      <c r="K115" s="61"/>
      <c r="L115" s="61"/>
      <c r="M115" s="62"/>
      <c r="N115" s="104"/>
      <c r="O115" s="61"/>
      <c r="P115" s="62"/>
      <c r="Q115" s="73"/>
      <c r="R115" s="68"/>
      <c r="S115" s="68"/>
      <c r="T115" s="68"/>
      <c r="U115" s="68"/>
      <c r="V115" s="68"/>
      <c r="W115" s="69"/>
      <c r="X115" s="68"/>
      <c r="Y115" s="70"/>
      <c r="Z115" s="68"/>
      <c r="AA115" s="68"/>
      <c r="AB115" s="68"/>
    </row>
    <row r="116" spans="1:28" ht="16.899999999999999" customHeight="1" x14ac:dyDescent="0.25">
      <c r="A116" s="66"/>
      <c r="B116" s="77"/>
      <c r="C116" s="63"/>
      <c r="D116" s="67"/>
      <c r="E116" s="100"/>
      <c r="F116" s="61"/>
      <c r="G116" s="61"/>
      <c r="H116" s="61"/>
      <c r="I116" s="61"/>
      <c r="J116" s="62"/>
      <c r="K116" s="61"/>
      <c r="L116" s="61"/>
      <c r="M116" s="62"/>
      <c r="N116" s="104"/>
      <c r="O116" s="61"/>
      <c r="P116" s="62"/>
      <c r="Q116" s="73"/>
      <c r="R116" s="68"/>
      <c r="S116" s="68"/>
      <c r="T116" s="68"/>
      <c r="U116" s="68"/>
      <c r="V116" s="68"/>
      <c r="W116" s="69"/>
      <c r="X116" s="68"/>
      <c r="Y116" s="70"/>
      <c r="Z116" s="68"/>
      <c r="AA116" s="68"/>
      <c r="AB116" s="68"/>
    </row>
    <row r="117" spans="1:28" ht="16.899999999999999" customHeight="1" x14ac:dyDescent="0.25">
      <c r="A117" s="66"/>
      <c r="B117" s="77"/>
      <c r="C117" s="63"/>
      <c r="D117" s="67"/>
      <c r="E117" s="100"/>
      <c r="F117" s="61"/>
      <c r="G117" s="61"/>
      <c r="H117" s="61"/>
      <c r="I117" s="61"/>
      <c r="J117" s="62"/>
      <c r="K117" s="61"/>
      <c r="L117" s="61"/>
      <c r="M117" s="62"/>
      <c r="N117" s="104"/>
      <c r="O117" s="61"/>
      <c r="P117" s="62"/>
      <c r="Q117" s="73"/>
      <c r="R117" s="68"/>
      <c r="S117" s="68"/>
      <c r="T117" s="68"/>
      <c r="U117" s="68"/>
      <c r="V117" s="68"/>
      <c r="W117" s="69"/>
      <c r="X117" s="68"/>
      <c r="Y117" s="70"/>
      <c r="Z117" s="68"/>
      <c r="AA117" s="68"/>
      <c r="AB117" s="68"/>
    </row>
    <row r="118" spans="1:28" ht="16.899999999999999" customHeight="1" x14ac:dyDescent="0.25">
      <c r="A118" s="66"/>
      <c r="B118" s="77"/>
      <c r="C118" s="63"/>
      <c r="D118" s="67"/>
      <c r="E118" s="100"/>
      <c r="F118" s="61"/>
      <c r="G118" s="61"/>
      <c r="H118" s="61"/>
      <c r="I118" s="61"/>
      <c r="J118" s="62"/>
      <c r="K118" s="61"/>
      <c r="L118" s="61"/>
      <c r="M118" s="62"/>
      <c r="N118" s="104"/>
      <c r="O118" s="61"/>
      <c r="P118" s="62"/>
      <c r="Q118" s="73"/>
      <c r="R118" s="68"/>
      <c r="S118" s="68"/>
      <c r="T118" s="68"/>
      <c r="U118" s="68"/>
      <c r="V118" s="68"/>
      <c r="W118" s="69"/>
      <c r="X118" s="68"/>
      <c r="Y118" s="70"/>
      <c r="Z118" s="68"/>
      <c r="AA118" s="68"/>
      <c r="AB118" s="68"/>
    </row>
    <row r="119" spans="1:28" ht="16.899999999999999" customHeight="1" x14ac:dyDescent="0.25">
      <c r="A119" s="66"/>
      <c r="B119" s="77"/>
      <c r="C119" s="63"/>
      <c r="D119" s="67"/>
      <c r="E119" s="100"/>
      <c r="F119" s="61"/>
      <c r="G119" s="61"/>
      <c r="H119" s="61"/>
      <c r="I119" s="61"/>
      <c r="J119" s="62"/>
      <c r="K119" s="61"/>
      <c r="L119" s="61"/>
      <c r="M119" s="62"/>
      <c r="N119" s="104"/>
      <c r="O119" s="61"/>
      <c r="P119" s="62"/>
      <c r="Q119" s="73"/>
      <c r="R119" s="68"/>
      <c r="S119" s="68"/>
      <c r="T119" s="68"/>
      <c r="U119" s="68"/>
      <c r="V119" s="68"/>
      <c r="W119" s="69"/>
      <c r="X119" s="68"/>
      <c r="Y119" s="70"/>
      <c r="Z119" s="68"/>
      <c r="AA119" s="68"/>
      <c r="AB119" s="68"/>
    </row>
    <row r="120" spans="1:28" ht="16.899999999999999" customHeight="1" x14ac:dyDescent="0.25">
      <c r="A120" s="66"/>
      <c r="B120" s="77"/>
      <c r="C120" s="63"/>
      <c r="D120" s="67"/>
      <c r="E120" s="100"/>
      <c r="F120" s="61"/>
      <c r="G120" s="61"/>
      <c r="H120" s="61"/>
      <c r="I120" s="61"/>
      <c r="J120" s="62"/>
      <c r="K120" s="61"/>
      <c r="L120" s="61"/>
      <c r="M120" s="62"/>
      <c r="N120" s="104"/>
      <c r="O120" s="61"/>
      <c r="P120" s="62"/>
      <c r="Q120" s="73"/>
      <c r="R120" s="68"/>
      <c r="S120" s="68"/>
      <c r="T120" s="68"/>
      <c r="U120" s="68"/>
      <c r="V120" s="68"/>
      <c r="W120" s="69"/>
      <c r="X120" s="68"/>
      <c r="Y120" s="70"/>
      <c r="Z120" s="68"/>
      <c r="AA120" s="68"/>
      <c r="AB120" s="68"/>
    </row>
    <row r="121" spans="1:28" ht="16.899999999999999" customHeight="1" x14ac:dyDescent="0.25">
      <c r="A121" s="66"/>
      <c r="B121" s="77"/>
      <c r="C121" s="63"/>
      <c r="D121" s="67"/>
      <c r="E121" s="100"/>
      <c r="F121" s="61"/>
      <c r="G121" s="61"/>
      <c r="H121" s="61"/>
      <c r="I121" s="61"/>
      <c r="J121" s="62"/>
      <c r="K121" s="61"/>
      <c r="L121" s="61"/>
      <c r="M121" s="62"/>
      <c r="N121" s="104"/>
      <c r="O121" s="61"/>
      <c r="P121" s="62"/>
      <c r="Q121" s="73"/>
      <c r="R121" s="68"/>
      <c r="S121" s="68"/>
      <c r="T121" s="68"/>
      <c r="U121" s="68"/>
      <c r="V121" s="68"/>
      <c r="W121" s="69"/>
      <c r="X121" s="68"/>
      <c r="Y121" s="70"/>
      <c r="Z121" s="68"/>
      <c r="AA121" s="68"/>
      <c r="AB121" s="68"/>
    </row>
    <row r="122" spans="1:28" ht="16.899999999999999" customHeight="1" x14ac:dyDescent="0.25">
      <c r="A122" s="66"/>
      <c r="B122" s="77"/>
      <c r="C122" s="63"/>
      <c r="D122" s="67"/>
      <c r="E122" s="100"/>
      <c r="F122" s="61"/>
      <c r="G122" s="61"/>
      <c r="H122" s="61"/>
      <c r="I122" s="61"/>
      <c r="J122" s="62"/>
      <c r="K122" s="61"/>
      <c r="L122" s="61"/>
      <c r="M122" s="62"/>
      <c r="N122" s="104"/>
      <c r="O122" s="61"/>
      <c r="P122" s="62"/>
      <c r="Q122" s="73"/>
      <c r="R122" s="68"/>
      <c r="S122" s="68"/>
      <c r="T122" s="68"/>
      <c r="U122" s="68"/>
      <c r="V122" s="68"/>
      <c r="W122" s="69"/>
      <c r="X122" s="68"/>
      <c r="Y122" s="70"/>
      <c r="Z122" s="68"/>
      <c r="AA122" s="68"/>
      <c r="AB122" s="68"/>
    </row>
    <row r="123" spans="1:28" ht="16.899999999999999" customHeight="1" x14ac:dyDescent="0.25">
      <c r="A123" s="66"/>
      <c r="B123" s="77"/>
      <c r="C123" s="63"/>
      <c r="D123" s="67"/>
      <c r="E123" s="100"/>
      <c r="F123" s="61"/>
      <c r="G123" s="61"/>
      <c r="H123" s="61"/>
      <c r="I123" s="61"/>
      <c r="J123" s="62"/>
      <c r="K123" s="61"/>
      <c r="L123" s="61"/>
      <c r="M123" s="62"/>
      <c r="N123" s="104"/>
      <c r="O123" s="61"/>
      <c r="P123" s="62"/>
      <c r="Q123" s="73"/>
      <c r="R123" s="68"/>
      <c r="S123" s="68"/>
      <c r="T123" s="68"/>
      <c r="U123" s="68"/>
      <c r="V123" s="68"/>
      <c r="W123" s="69"/>
      <c r="X123" s="68"/>
      <c r="Y123" s="70"/>
      <c r="Z123" s="68"/>
      <c r="AA123" s="68"/>
      <c r="AB123" s="68"/>
    </row>
    <row r="124" spans="1:28" ht="16.899999999999999" customHeight="1" x14ac:dyDescent="0.25">
      <c r="A124" s="66"/>
      <c r="B124" s="77"/>
      <c r="C124" s="63"/>
      <c r="D124" s="67"/>
      <c r="E124" s="100"/>
      <c r="F124" s="61"/>
      <c r="G124" s="61"/>
      <c r="H124" s="61"/>
      <c r="I124" s="61"/>
      <c r="J124" s="62"/>
      <c r="K124" s="61"/>
      <c r="L124" s="61"/>
      <c r="M124" s="62"/>
      <c r="N124" s="104"/>
      <c r="O124" s="61"/>
      <c r="P124" s="62"/>
      <c r="Q124" s="73"/>
      <c r="R124" s="68"/>
      <c r="S124" s="68"/>
      <c r="T124" s="68"/>
      <c r="U124" s="68"/>
      <c r="V124" s="68"/>
      <c r="W124" s="69"/>
      <c r="X124" s="68"/>
      <c r="Y124" s="70"/>
      <c r="Z124" s="68"/>
      <c r="AA124" s="68"/>
      <c r="AB124" s="68"/>
    </row>
    <row r="125" spans="1:28" ht="16.899999999999999" customHeight="1" x14ac:dyDescent="0.25">
      <c r="A125" s="66"/>
      <c r="B125" s="77"/>
      <c r="C125" s="63"/>
      <c r="D125" s="67"/>
      <c r="E125" s="100"/>
      <c r="F125" s="61"/>
      <c r="G125" s="61"/>
      <c r="H125" s="61"/>
      <c r="I125" s="61"/>
      <c r="J125" s="62"/>
      <c r="K125" s="61"/>
      <c r="L125" s="61"/>
      <c r="M125" s="62"/>
      <c r="N125" s="104"/>
      <c r="O125" s="61"/>
      <c r="P125" s="62"/>
      <c r="Q125" s="73"/>
      <c r="R125" s="68"/>
      <c r="S125" s="68"/>
      <c r="T125" s="68"/>
      <c r="U125" s="68"/>
      <c r="V125" s="68"/>
      <c r="W125" s="69"/>
      <c r="X125" s="68"/>
      <c r="Y125" s="70"/>
      <c r="Z125" s="68"/>
      <c r="AA125" s="68"/>
      <c r="AB125" s="68"/>
    </row>
    <row r="126" spans="1:28" ht="16.899999999999999" customHeight="1" x14ac:dyDescent="0.25">
      <c r="A126" s="66"/>
      <c r="B126" s="77"/>
      <c r="C126" s="63"/>
      <c r="D126" s="67"/>
      <c r="E126" s="100"/>
      <c r="F126" s="61"/>
      <c r="G126" s="61"/>
      <c r="H126" s="61"/>
      <c r="I126" s="61"/>
      <c r="J126" s="62"/>
      <c r="K126" s="61"/>
      <c r="L126" s="61"/>
      <c r="M126" s="62"/>
      <c r="N126" s="104"/>
      <c r="O126" s="61"/>
      <c r="P126" s="62"/>
      <c r="Q126" s="73"/>
      <c r="R126" s="68"/>
      <c r="S126" s="68"/>
      <c r="T126" s="68"/>
      <c r="U126" s="68"/>
      <c r="V126" s="68"/>
      <c r="W126" s="69"/>
      <c r="X126" s="68"/>
      <c r="Y126" s="70"/>
      <c r="Z126" s="68"/>
      <c r="AA126" s="68"/>
      <c r="AB126" s="68"/>
    </row>
    <row r="127" spans="1:28" ht="16.899999999999999" customHeight="1" x14ac:dyDescent="0.25">
      <c r="A127" s="66"/>
      <c r="B127" s="77"/>
      <c r="C127" s="63"/>
      <c r="D127" s="67"/>
      <c r="E127" s="100"/>
      <c r="F127" s="61"/>
      <c r="G127" s="61"/>
      <c r="H127" s="61"/>
      <c r="I127" s="61"/>
      <c r="J127" s="62"/>
      <c r="K127" s="61"/>
      <c r="L127" s="61"/>
      <c r="M127" s="62"/>
      <c r="N127" s="104"/>
      <c r="O127" s="61"/>
      <c r="P127" s="62"/>
      <c r="Q127" s="73"/>
      <c r="R127" s="68"/>
      <c r="S127" s="68"/>
      <c r="T127" s="68"/>
      <c r="U127" s="68"/>
      <c r="V127" s="68"/>
      <c r="W127" s="69"/>
      <c r="X127" s="68"/>
      <c r="Y127" s="70"/>
      <c r="Z127" s="68"/>
      <c r="AA127" s="68"/>
      <c r="AB127" s="68"/>
    </row>
    <row r="128" spans="1:28" ht="16.899999999999999" customHeight="1" x14ac:dyDescent="0.25">
      <c r="A128" s="66"/>
      <c r="B128" s="77"/>
      <c r="C128" s="63"/>
      <c r="D128" s="67"/>
      <c r="E128" s="100"/>
      <c r="F128" s="61"/>
      <c r="G128" s="61"/>
      <c r="H128" s="61"/>
      <c r="I128" s="61"/>
      <c r="J128" s="62"/>
      <c r="K128" s="61"/>
      <c r="L128" s="61"/>
      <c r="M128" s="62"/>
      <c r="N128" s="104"/>
      <c r="O128" s="61"/>
      <c r="P128" s="62"/>
      <c r="Q128" s="73"/>
      <c r="R128" s="68"/>
      <c r="S128" s="68"/>
      <c r="T128" s="68"/>
      <c r="U128" s="68"/>
      <c r="V128" s="68"/>
      <c r="W128" s="69"/>
      <c r="X128" s="68"/>
      <c r="Y128" s="70"/>
      <c r="Z128" s="68"/>
      <c r="AA128" s="68"/>
      <c r="AB128" s="68"/>
    </row>
    <row r="129" spans="1:28" ht="16.899999999999999" customHeight="1" x14ac:dyDescent="0.25">
      <c r="A129" s="66"/>
      <c r="B129" s="77"/>
      <c r="C129" s="63"/>
      <c r="D129" s="67"/>
      <c r="E129" s="100"/>
      <c r="F129" s="61"/>
      <c r="G129" s="61"/>
      <c r="H129" s="61"/>
      <c r="I129" s="61"/>
      <c r="J129" s="62"/>
      <c r="K129" s="61"/>
      <c r="L129" s="61"/>
      <c r="M129" s="62"/>
      <c r="N129" s="104"/>
      <c r="O129" s="61"/>
      <c r="P129" s="62"/>
      <c r="Q129" s="73"/>
      <c r="R129" s="68"/>
      <c r="S129" s="68"/>
      <c r="T129" s="68"/>
      <c r="U129" s="68"/>
      <c r="V129" s="68"/>
      <c r="W129" s="69"/>
      <c r="X129" s="68"/>
      <c r="Y129" s="70"/>
      <c r="Z129" s="68"/>
      <c r="AA129" s="68"/>
      <c r="AB129" s="68"/>
    </row>
    <row r="130" spans="1:28" ht="16.899999999999999" customHeight="1" x14ac:dyDescent="0.25">
      <c r="A130" s="66"/>
      <c r="B130" s="77"/>
      <c r="C130" s="63"/>
      <c r="D130" s="67"/>
      <c r="E130" s="100"/>
      <c r="F130" s="61"/>
      <c r="G130" s="61"/>
      <c r="H130" s="61"/>
      <c r="I130" s="61"/>
      <c r="J130" s="62"/>
      <c r="K130" s="61"/>
      <c r="L130" s="61"/>
      <c r="M130" s="62"/>
      <c r="N130" s="104"/>
      <c r="O130" s="61"/>
      <c r="P130" s="62"/>
      <c r="Q130" s="73"/>
      <c r="R130" s="68"/>
      <c r="S130" s="68"/>
      <c r="T130" s="68"/>
      <c r="U130" s="68"/>
      <c r="V130" s="68"/>
      <c r="W130" s="69"/>
      <c r="X130" s="68"/>
      <c r="Y130" s="70"/>
      <c r="Z130" s="68"/>
      <c r="AA130" s="68"/>
      <c r="AB130" s="68"/>
    </row>
    <row r="131" spans="1:28" ht="16.899999999999999" customHeight="1" x14ac:dyDescent="0.25">
      <c r="A131" s="66"/>
      <c r="B131" s="77"/>
      <c r="C131" s="63"/>
      <c r="D131" s="67"/>
      <c r="E131" s="100"/>
      <c r="F131" s="61"/>
      <c r="G131" s="61"/>
      <c r="H131" s="61"/>
      <c r="I131" s="61"/>
      <c r="J131" s="62"/>
      <c r="K131" s="61"/>
      <c r="L131" s="61"/>
      <c r="M131" s="62"/>
      <c r="N131" s="104"/>
      <c r="O131" s="61"/>
      <c r="P131" s="62"/>
      <c r="Q131" s="73"/>
      <c r="R131" s="68"/>
      <c r="S131" s="68"/>
      <c r="T131" s="68"/>
      <c r="U131" s="68"/>
      <c r="V131" s="68"/>
      <c r="W131" s="69"/>
      <c r="X131" s="68"/>
      <c r="Y131" s="70"/>
      <c r="Z131" s="68"/>
      <c r="AA131" s="68"/>
      <c r="AB131" s="68"/>
    </row>
    <row r="132" spans="1:28" ht="16.899999999999999" customHeight="1" x14ac:dyDescent="0.25">
      <c r="A132" s="66"/>
      <c r="B132" s="77"/>
      <c r="C132" s="63"/>
      <c r="D132" s="67"/>
      <c r="E132" s="100"/>
      <c r="F132" s="61"/>
      <c r="G132" s="61"/>
      <c r="H132" s="61"/>
      <c r="I132" s="61"/>
      <c r="J132" s="62"/>
      <c r="K132" s="61"/>
      <c r="L132" s="61"/>
      <c r="M132" s="62"/>
      <c r="N132" s="104"/>
      <c r="O132" s="61"/>
      <c r="P132" s="62"/>
      <c r="Q132" s="73"/>
      <c r="R132" s="68"/>
      <c r="S132" s="68"/>
      <c r="T132" s="68"/>
      <c r="U132" s="68"/>
      <c r="V132" s="68"/>
      <c r="W132" s="69"/>
      <c r="X132" s="68"/>
      <c r="Y132" s="70"/>
      <c r="Z132" s="68"/>
      <c r="AA132" s="68"/>
      <c r="AB132" s="68"/>
    </row>
    <row r="133" spans="1:28" ht="16.899999999999999" customHeight="1" x14ac:dyDescent="0.25">
      <c r="A133" s="66"/>
      <c r="B133" s="77"/>
      <c r="C133" s="63"/>
      <c r="D133" s="67"/>
      <c r="E133" s="100"/>
      <c r="F133" s="61"/>
      <c r="G133" s="61"/>
      <c r="H133" s="61"/>
      <c r="I133" s="61"/>
      <c r="J133" s="62"/>
      <c r="K133" s="61"/>
      <c r="L133" s="61"/>
      <c r="M133" s="62"/>
      <c r="N133" s="104"/>
      <c r="O133" s="61"/>
      <c r="P133" s="62"/>
      <c r="Q133" s="73"/>
      <c r="R133" s="68"/>
      <c r="S133" s="68"/>
      <c r="T133" s="68"/>
      <c r="U133" s="68"/>
      <c r="V133" s="68"/>
      <c r="W133" s="69"/>
      <c r="X133" s="68"/>
      <c r="Y133" s="70"/>
      <c r="Z133" s="68"/>
      <c r="AA133" s="68"/>
      <c r="AB133" s="68"/>
    </row>
    <row r="134" spans="1:28" ht="16.899999999999999" customHeight="1" x14ac:dyDescent="0.25">
      <c r="A134" s="66"/>
      <c r="B134" s="77"/>
      <c r="C134" s="63"/>
      <c r="D134" s="67"/>
      <c r="E134" s="100"/>
      <c r="F134" s="61"/>
      <c r="G134" s="61"/>
      <c r="H134" s="61"/>
      <c r="I134" s="61"/>
      <c r="J134" s="62"/>
      <c r="K134" s="61"/>
      <c r="L134" s="61"/>
      <c r="M134" s="62"/>
      <c r="N134" s="104"/>
      <c r="O134" s="61"/>
      <c r="P134" s="62"/>
      <c r="Q134" s="73"/>
      <c r="R134" s="68"/>
      <c r="S134" s="68"/>
      <c r="T134" s="68"/>
      <c r="U134" s="68"/>
      <c r="V134" s="68"/>
      <c r="W134" s="69"/>
      <c r="X134" s="68"/>
      <c r="Y134" s="70"/>
      <c r="Z134" s="68"/>
      <c r="AA134" s="68"/>
      <c r="AB134" s="68"/>
    </row>
    <row r="135" spans="1:28" ht="16.899999999999999" customHeight="1" x14ac:dyDescent="0.25">
      <c r="A135" s="66"/>
      <c r="B135" s="77"/>
      <c r="C135" s="63"/>
      <c r="D135" s="67"/>
      <c r="E135" s="100"/>
      <c r="F135" s="61"/>
      <c r="G135" s="61"/>
      <c r="H135" s="61"/>
      <c r="I135" s="61"/>
      <c r="J135" s="62"/>
      <c r="K135" s="61"/>
      <c r="L135" s="61"/>
      <c r="M135" s="62"/>
      <c r="N135" s="104"/>
      <c r="O135" s="61"/>
      <c r="P135" s="62"/>
      <c r="Q135" s="73"/>
      <c r="R135" s="68"/>
      <c r="S135" s="68"/>
      <c r="T135" s="68"/>
      <c r="U135" s="68"/>
      <c r="V135" s="68"/>
      <c r="W135" s="69"/>
      <c r="X135" s="68"/>
      <c r="Y135" s="70"/>
      <c r="Z135" s="68"/>
      <c r="AA135" s="68"/>
      <c r="AB135" s="68"/>
    </row>
    <row r="136" spans="1:28" ht="16.899999999999999" customHeight="1" x14ac:dyDescent="0.25">
      <c r="A136" s="66"/>
      <c r="B136" s="77"/>
      <c r="C136" s="63"/>
      <c r="D136" s="67"/>
      <c r="E136" s="100"/>
      <c r="F136" s="61"/>
      <c r="G136" s="61"/>
      <c r="H136" s="61"/>
      <c r="I136" s="61"/>
      <c r="J136" s="62"/>
      <c r="K136" s="61"/>
      <c r="L136" s="61"/>
      <c r="M136" s="62"/>
      <c r="N136" s="104"/>
      <c r="O136" s="61"/>
      <c r="P136" s="62"/>
      <c r="Q136" s="73"/>
      <c r="R136" s="68"/>
      <c r="S136" s="68"/>
      <c r="T136" s="68"/>
      <c r="U136" s="68"/>
      <c r="V136" s="68"/>
      <c r="W136" s="69"/>
      <c r="X136" s="68"/>
      <c r="Y136" s="70"/>
      <c r="Z136" s="68"/>
      <c r="AA136" s="68"/>
      <c r="AB136" s="68"/>
    </row>
    <row r="137" spans="1:28" ht="16.899999999999999" customHeight="1" x14ac:dyDescent="0.25">
      <c r="A137" s="66"/>
      <c r="B137" s="77"/>
      <c r="C137" s="63"/>
      <c r="D137" s="67"/>
      <c r="E137" s="100"/>
      <c r="F137" s="61"/>
      <c r="G137" s="61"/>
      <c r="H137" s="61"/>
      <c r="I137" s="61"/>
      <c r="J137" s="62"/>
      <c r="K137" s="61"/>
      <c r="L137" s="61"/>
      <c r="M137" s="62"/>
      <c r="N137" s="104"/>
      <c r="O137" s="61"/>
      <c r="P137" s="62"/>
      <c r="Q137" s="73"/>
      <c r="R137" s="68"/>
      <c r="S137" s="68"/>
      <c r="T137" s="68"/>
      <c r="U137" s="68"/>
      <c r="V137" s="68"/>
      <c r="W137" s="69"/>
      <c r="X137" s="68"/>
      <c r="Y137" s="70"/>
      <c r="Z137" s="68"/>
      <c r="AA137" s="68"/>
      <c r="AB137" s="68"/>
    </row>
    <row r="138" spans="1:28" ht="16.899999999999999" customHeight="1" x14ac:dyDescent="0.25">
      <c r="A138" s="66"/>
      <c r="B138" s="77"/>
      <c r="C138" s="63"/>
      <c r="D138" s="67"/>
      <c r="E138" s="100"/>
      <c r="F138" s="61"/>
      <c r="G138" s="61"/>
      <c r="H138" s="61"/>
      <c r="I138" s="61"/>
      <c r="J138" s="62"/>
      <c r="K138" s="61"/>
      <c r="L138" s="61"/>
      <c r="M138" s="62"/>
      <c r="N138" s="104"/>
      <c r="O138" s="61"/>
      <c r="P138" s="62"/>
      <c r="Q138" s="73"/>
      <c r="R138" s="68"/>
      <c r="S138" s="68"/>
      <c r="T138" s="68"/>
      <c r="U138" s="68"/>
      <c r="V138" s="68"/>
      <c r="W138" s="69"/>
      <c r="X138" s="68"/>
      <c r="Y138" s="70"/>
      <c r="Z138" s="68"/>
      <c r="AA138" s="68"/>
      <c r="AB138" s="68"/>
    </row>
    <row r="139" spans="1:28" ht="16.899999999999999" customHeight="1" x14ac:dyDescent="0.25">
      <c r="A139" s="66"/>
      <c r="B139" s="77"/>
      <c r="C139" s="63"/>
      <c r="D139" s="67"/>
      <c r="E139" s="100"/>
      <c r="F139" s="61"/>
      <c r="G139" s="61"/>
      <c r="H139" s="61"/>
      <c r="I139" s="61"/>
      <c r="J139" s="62"/>
      <c r="K139" s="61"/>
      <c r="L139" s="61"/>
      <c r="M139" s="62"/>
      <c r="N139" s="104"/>
      <c r="O139" s="61"/>
      <c r="P139" s="62"/>
      <c r="Q139" s="73"/>
      <c r="R139" s="68"/>
      <c r="S139" s="68"/>
      <c r="T139" s="68"/>
      <c r="U139" s="68"/>
      <c r="V139" s="68"/>
      <c r="W139" s="69"/>
      <c r="X139" s="68"/>
      <c r="Y139" s="70"/>
      <c r="Z139" s="68"/>
      <c r="AA139" s="68"/>
      <c r="AB139" s="68"/>
    </row>
    <row r="140" spans="1:28" ht="16.899999999999999" customHeight="1" x14ac:dyDescent="0.25">
      <c r="A140" s="66"/>
      <c r="B140" s="77"/>
      <c r="C140" s="63"/>
      <c r="D140" s="67"/>
      <c r="E140" s="100"/>
      <c r="F140" s="61"/>
      <c r="G140" s="61"/>
      <c r="H140" s="61"/>
      <c r="I140" s="61"/>
      <c r="J140" s="62"/>
      <c r="K140" s="61"/>
      <c r="L140" s="61"/>
      <c r="M140" s="62"/>
      <c r="N140" s="104"/>
      <c r="O140" s="61"/>
      <c r="P140" s="62"/>
      <c r="Q140" s="73"/>
      <c r="R140" s="68"/>
      <c r="S140" s="68"/>
      <c r="T140" s="68"/>
      <c r="U140" s="68"/>
      <c r="V140" s="68"/>
      <c r="W140" s="69"/>
      <c r="X140" s="68"/>
      <c r="Y140" s="70"/>
      <c r="Z140" s="68"/>
      <c r="AA140" s="68"/>
      <c r="AB140" s="68"/>
    </row>
    <row r="141" spans="1:28" ht="16.899999999999999" customHeight="1" x14ac:dyDescent="0.25">
      <c r="A141" s="66"/>
      <c r="B141" s="77"/>
      <c r="C141" s="63"/>
      <c r="D141" s="67"/>
      <c r="E141" s="100"/>
      <c r="F141" s="61"/>
      <c r="G141" s="61"/>
      <c r="H141" s="61"/>
      <c r="I141" s="61"/>
      <c r="J141" s="62"/>
      <c r="K141" s="61"/>
      <c r="L141" s="61"/>
      <c r="M141" s="62"/>
      <c r="N141" s="104"/>
      <c r="O141" s="61"/>
      <c r="P141" s="62"/>
      <c r="Q141" s="73"/>
      <c r="R141" s="68"/>
      <c r="S141" s="68"/>
      <c r="T141" s="68"/>
      <c r="U141" s="68"/>
      <c r="V141" s="68"/>
      <c r="W141" s="69"/>
      <c r="X141" s="68"/>
      <c r="Y141" s="70"/>
      <c r="Z141" s="68"/>
      <c r="AA141" s="68"/>
      <c r="AB141" s="68"/>
    </row>
    <row r="142" spans="1:28" ht="16.899999999999999" customHeight="1" x14ac:dyDescent="0.25">
      <c r="A142" s="66"/>
      <c r="B142" s="77"/>
      <c r="C142" s="63"/>
      <c r="D142" s="67"/>
      <c r="E142" s="100"/>
      <c r="F142" s="61"/>
      <c r="G142" s="61"/>
      <c r="H142" s="61"/>
      <c r="I142" s="61"/>
      <c r="J142" s="62"/>
      <c r="K142" s="61"/>
      <c r="L142" s="61"/>
      <c r="M142" s="62"/>
      <c r="N142" s="104"/>
      <c r="O142" s="61"/>
      <c r="P142" s="62"/>
      <c r="Q142" s="73"/>
      <c r="R142" s="68"/>
      <c r="S142" s="68"/>
      <c r="T142" s="68"/>
      <c r="U142" s="68"/>
      <c r="V142" s="68"/>
      <c r="W142" s="69"/>
      <c r="X142" s="68"/>
      <c r="Y142" s="70"/>
      <c r="Z142" s="68"/>
      <c r="AA142" s="68"/>
      <c r="AB142" s="68"/>
    </row>
    <row r="143" spans="1:28" ht="16.899999999999999" customHeight="1" x14ac:dyDescent="0.25">
      <c r="A143" s="66"/>
      <c r="B143" s="77"/>
      <c r="C143" s="63"/>
      <c r="D143" s="67"/>
      <c r="E143" s="100"/>
      <c r="F143" s="61"/>
      <c r="G143" s="61"/>
      <c r="H143" s="61"/>
      <c r="I143" s="61"/>
      <c r="J143" s="62"/>
      <c r="K143" s="61"/>
      <c r="L143" s="61"/>
      <c r="M143" s="62"/>
      <c r="N143" s="104"/>
      <c r="O143" s="61"/>
      <c r="P143" s="62"/>
      <c r="Q143" s="73"/>
      <c r="R143" s="68"/>
      <c r="S143" s="68"/>
      <c r="T143" s="68"/>
      <c r="U143" s="68"/>
      <c r="V143" s="68"/>
      <c r="W143" s="69"/>
      <c r="X143" s="68"/>
      <c r="Y143" s="70"/>
      <c r="Z143" s="68"/>
      <c r="AA143" s="68"/>
      <c r="AB143" s="68"/>
    </row>
    <row r="144" spans="1:28" ht="16.899999999999999" customHeight="1" x14ac:dyDescent="0.25">
      <c r="A144" s="66"/>
      <c r="B144" s="77"/>
      <c r="C144" s="63"/>
      <c r="D144" s="67"/>
      <c r="E144" s="100"/>
      <c r="F144" s="61"/>
      <c r="G144" s="61"/>
      <c r="H144" s="61"/>
      <c r="I144" s="61"/>
      <c r="J144" s="62"/>
      <c r="K144" s="61"/>
      <c r="L144" s="61"/>
      <c r="M144" s="62"/>
      <c r="N144" s="104"/>
      <c r="O144" s="61"/>
      <c r="P144" s="62"/>
      <c r="Q144" s="73"/>
      <c r="R144" s="68"/>
      <c r="S144" s="68"/>
      <c r="T144" s="68"/>
      <c r="U144" s="68"/>
      <c r="V144" s="68"/>
      <c r="W144" s="69"/>
      <c r="X144" s="68"/>
      <c r="Y144" s="70"/>
      <c r="Z144" s="68"/>
      <c r="AA144" s="68"/>
      <c r="AB144" s="68"/>
    </row>
    <row r="145" spans="1:28" ht="16.899999999999999" customHeight="1" x14ac:dyDescent="0.25">
      <c r="A145" s="66"/>
      <c r="B145" s="77"/>
      <c r="C145" s="63"/>
      <c r="D145" s="67"/>
      <c r="E145" s="100"/>
      <c r="F145" s="61"/>
      <c r="G145" s="61"/>
      <c r="H145" s="61"/>
      <c r="I145" s="61"/>
      <c r="J145" s="62"/>
      <c r="K145" s="61"/>
      <c r="L145" s="61"/>
      <c r="M145" s="62"/>
      <c r="N145" s="104"/>
      <c r="O145" s="61"/>
      <c r="P145" s="62"/>
      <c r="Q145" s="73"/>
      <c r="R145" s="68"/>
      <c r="S145" s="68"/>
      <c r="T145" s="68"/>
      <c r="U145" s="68"/>
      <c r="V145" s="68"/>
      <c r="W145" s="69"/>
      <c r="X145" s="68"/>
      <c r="Y145" s="70"/>
      <c r="Z145" s="68"/>
      <c r="AA145" s="68"/>
      <c r="AB145" s="68"/>
    </row>
    <row r="146" spans="1:28" ht="16.899999999999999" customHeight="1" x14ac:dyDescent="0.25">
      <c r="A146" s="66"/>
      <c r="B146" s="77"/>
      <c r="C146" s="63"/>
      <c r="D146" s="67"/>
      <c r="E146" s="100"/>
      <c r="F146" s="61"/>
      <c r="G146" s="61"/>
      <c r="H146" s="61"/>
      <c r="I146" s="61"/>
      <c r="J146" s="62"/>
      <c r="K146" s="61"/>
      <c r="L146" s="61"/>
      <c r="M146" s="62"/>
      <c r="N146" s="104"/>
      <c r="O146" s="61"/>
      <c r="P146" s="62"/>
      <c r="Q146" s="73"/>
      <c r="R146" s="68"/>
      <c r="S146" s="68"/>
      <c r="T146" s="68"/>
      <c r="U146" s="68"/>
      <c r="V146" s="68"/>
      <c r="W146" s="69"/>
      <c r="X146" s="68"/>
      <c r="Y146" s="70"/>
      <c r="Z146" s="68"/>
      <c r="AA146" s="68"/>
      <c r="AB146" s="68"/>
    </row>
    <row r="147" spans="1:28" ht="16.899999999999999" customHeight="1" x14ac:dyDescent="0.25">
      <c r="A147" s="66"/>
      <c r="B147" s="77"/>
      <c r="C147" s="63"/>
      <c r="D147" s="67"/>
      <c r="E147" s="100"/>
      <c r="F147" s="61"/>
      <c r="G147" s="61"/>
      <c r="H147" s="61"/>
      <c r="I147" s="61"/>
      <c r="J147" s="62"/>
      <c r="K147" s="61"/>
      <c r="L147" s="61"/>
      <c r="M147" s="62"/>
      <c r="N147" s="104"/>
      <c r="O147" s="61"/>
      <c r="P147" s="62"/>
      <c r="Q147" s="73"/>
      <c r="R147" s="68"/>
      <c r="S147" s="68"/>
      <c r="T147" s="68"/>
      <c r="U147" s="68"/>
      <c r="V147" s="68"/>
      <c r="W147" s="69"/>
      <c r="X147" s="68"/>
      <c r="Y147" s="70"/>
      <c r="Z147" s="68"/>
      <c r="AA147" s="68"/>
      <c r="AB147" s="68"/>
    </row>
    <row r="148" spans="1:28" ht="16.899999999999999" customHeight="1" x14ac:dyDescent="0.25">
      <c r="A148" s="66"/>
      <c r="B148" s="77"/>
      <c r="C148" s="63"/>
      <c r="D148" s="67"/>
      <c r="E148" s="100"/>
      <c r="F148" s="61"/>
      <c r="G148" s="61"/>
      <c r="H148" s="61"/>
      <c r="I148" s="61"/>
      <c r="J148" s="62"/>
      <c r="K148" s="61"/>
      <c r="L148" s="61"/>
      <c r="M148" s="62"/>
      <c r="N148" s="104"/>
      <c r="O148" s="61"/>
      <c r="P148" s="62"/>
      <c r="Q148" s="73"/>
      <c r="R148" s="68"/>
      <c r="S148" s="68"/>
      <c r="T148" s="68"/>
      <c r="U148" s="68"/>
      <c r="V148" s="68"/>
      <c r="W148" s="69"/>
      <c r="X148" s="68"/>
      <c r="Y148" s="70"/>
      <c r="Z148" s="68"/>
      <c r="AA148" s="68"/>
      <c r="AB148" s="68"/>
    </row>
    <row r="149" spans="1:28" ht="16.899999999999999" customHeight="1" x14ac:dyDescent="0.25">
      <c r="A149" s="66"/>
      <c r="B149" s="77"/>
      <c r="C149" s="63"/>
      <c r="D149" s="67"/>
      <c r="E149" s="100"/>
      <c r="F149" s="61"/>
      <c r="G149" s="61"/>
      <c r="H149" s="61"/>
      <c r="I149" s="61"/>
      <c r="J149" s="62"/>
      <c r="K149" s="61"/>
      <c r="L149" s="61"/>
      <c r="M149" s="62"/>
      <c r="N149" s="104"/>
      <c r="O149" s="61"/>
      <c r="P149" s="62"/>
      <c r="Q149" s="73"/>
      <c r="R149" s="68"/>
      <c r="S149" s="68"/>
      <c r="T149" s="68"/>
      <c r="U149" s="68"/>
      <c r="V149" s="68"/>
      <c r="W149" s="69"/>
      <c r="X149" s="68"/>
      <c r="Y149" s="70"/>
      <c r="Z149" s="68"/>
      <c r="AA149" s="68"/>
      <c r="AB149" s="68"/>
    </row>
    <row r="150" spans="1:28" ht="16.899999999999999" customHeight="1" x14ac:dyDescent="0.25">
      <c r="A150" s="66"/>
      <c r="B150" s="77"/>
      <c r="C150" s="63"/>
      <c r="D150" s="67"/>
      <c r="E150" s="100"/>
      <c r="F150" s="61"/>
      <c r="G150" s="61"/>
      <c r="H150" s="61"/>
      <c r="I150" s="61"/>
      <c r="J150" s="62"/>
      <c r="K150" s="61"/>
      <c r="L150" s="61"/>
      <c r="M150" s="62"/>
      <c r="N150" s="104"/>
      <c r="O150" s="61"/>
      <c r="P150" s="62"/>
      <c r="Q150" s="73"/>
      <c r="R150" s="68"/>
      <c r="S150" s="68"/>
      <c r="T150" s="68"/>
      <c r="U150" s="68"/>
      <c r="V150" s="68"/>
      <c r="W150" s="69"/>
      <c r="X150" s="68"/>
      <c r="Y150" s="70"/>
      <c r="Z150" s="68"/>
      <c r="AA150" s="68"/>
      <c r="AB150" s="68"/>
    </row>
    <row r="151" spans="1:28" ht="16.899999999999999" customHeight="1" x14ac:dyDescent="0.25">
      <c r="A151" s="66"/>
      <c r="B151" s="77"/>
      <c r="C151" s="63"/>
      <c r="D151" s="67"/>
      <c r="E151" s="100"/>
      <c r="F151" s="61"/>
      <c r="G151" s="61"/>
      <c r="H151" s="61"/>
      <c r="I151" s="61"/>
      <c r="J151" s="62"/>
      <c r="K151" s="61"/>
      <c r="L151" s="61"/>
      <c r="M151" s="62"/>
      <c r="N151" s="104"/>
      <c r="O151" s="61"/>
      <c r="P151" s="62"/>
      <c r="Q151" s="73"/>
      <c r="R151" s="68"/>
      <c r="S151" s="68"/>
      <c r="T151" s="68"/>
      <c r="U151" s="68"/>
      <c r="V151" s="68"/>
      <c r="W151" s="69"/>
      <c r="X151" s="68"/>
      <c r="Y151" s="70"/>
      <c r="Z151" s="68"/>
      <c r="AA151" s="68"/>
      <c r="AB151" s="68"/>
    </row>
    <row r="152" spans="1:28" ht="16.899999999999999" customHeight="1" x14ac:dyDescent="0.25">
      <c r="A152" s="66"/>
      <c r="B152" s="77"/>
      <c r="C152" s="63"/>
      <c r="D152" s="67"/>
      <c r="E152" s="100"/>
      <c r="F152" s="61"/>
      <c r="G152" s="61"/>
      <c r="H152" s="61"/>
      <c r="I152" s="61"/>
      <c r="J152" s="62"/>
      <c r="K152" s="61"/>
      <c r="L152" s="61"/>
      <c r="M152" s="62"/>
      <c r="N152" s="104"/>
      <c r="O152" s="61"/>
      <c r="P152" s="62"/>
      <c r="Q152" s="73"/>
      <c r="R152" s="68"/>
      <c r="S152" s="68"/>
      <c r="T152" s="68"/>
      <c r="U152" s="68"/>
      <c r="V152" s="68"/>
      <c r="W152" s="69"/>
      <c r="X152" s="68"/>
      <c r="Y152" s="70"/>
      <c r="Z152" s="68"/>
      <c r="AA152" s="68"/>
      <c r="AB152" s="68"/>
    </row>
    <row r="153" spans="1:28" ht="16.899999999999999" customHeight="1" x14ac:dyDescent="0.25">
      <c r="A153" s="66"/>
      <c r="B153" s="77"/>
      <c r="C153" s="63"/>
      <c r="D153" s="67"/>
      <c r="E153" s="100"/>
      <c r="F153" s="61"/>
      <c r="G153" s="61"/>
      <c r="H153" s="61"/>
      <c r="I153" s="61"/>
      <c r="J153" s="62"/>
      <c r="K153" s="61"/>
      <c r="L153" s="61"/>
      <c r="M153" s="62"/>
      <c r="N153" s="104"/>
      <c r="O153" s="61"/>
      <c r="P153" s="62"/>
      <c r="Q153" s="73"/>
      <c r="R153" s="68"/>
      <c r="S153" s="68"/>
      <c r="T153" s="68"/>
      <c r="U153" s="68"/>
      <c r="V153" s="68"/>
      <c r="W153" s="69"/>
      <c r="X153" s="68"/>
      <c r="Y153" s="70"/>
      <c r="Z153" s="68"/>
      <c r="AA153" s="68"/>
      <c r="AB153" s="68"/>
    </row>
    <row r="154" spans="1:28" ht="16.899999999999999" customHeight="1" x14ac:dyDescent="0.25">
      <c r="A154" s="66"/>
      <c r="B154" s="77"/>
      <c r="C154" s="63"/>
      <c r="D154" s="67"/>
      <c r="E154" s="100"/>
      <c r="F154" s="61"/>
      <c r="G154" s="61"/>
      <c r="H154" s="61"/>
      <c r="I154" s="61"/>
      <c r="J154" s="62"/>
      <c r="K154" s="61"/>
      <c r="L154" s="61"/>
      <c r="M154" s="62"/>
      <c r="N154" s="104"/>
      <c r="O154" s="61"/>
      <c r="P154" s="62"/>
      <c r="Q154" s="73"/>
      <c r="R154" s="68"/>
      <c r="S154" s="68"/>
      <c r="T154" s="68"/>
      <c r="U154" s="68"/>
      <c r="V154" s="68"/>
      <c r="W154" s="69"/>
      <c r="X154" s="68"/>
      <c r="Y154" s="70"/>
      <c r="Z154" s="68"/>
      <c r="AA154" s="68"/>
      <c r="AB154" s="68"/>
    </row>
    <row r="155" spans="1:28" ht="16.899999999999999" customHeight="1" x14ac:dyDescent="0.25">
      <c r="A155" s="66"/>
      <c r="B155" s="77"/>
      <c r="C155" s="63"/>
      <c r="D155" s="67"/>
      <c r="E155" s="100"/>
      <c r="F155" s="61"/>
      <c r="G155" s="61"/>
      <c r="H155" s="61"/>
      <c r="I155" s="61"/>
      <c r="J155" s="62"/>
      <c r="K155" s="61"/>
      <c r="L155" s="61"/>
      <c r="M155" s="62"/>
      <c r="N155" s="104"/>
      <c r="O155" s="61"/>
      <c r="P155" s="62"/>
      <c r="Q155" s="73"/>
      <c r="R155" s="68"/>
      <c r="S155" s="68"/>
      <c r="T155" s="68"/>
      <c r="U155" s="68"/>
      <c r="V155" s="68"/>
      <c r="W155" s="69"/>
      <c r="X155" s="68"/>
      <c r="Y155" s="70"/>
      <c r="Z155" s="68"/>
      <c r="AA155" s="68"/>
      <c r="AB155" s="68"/>
    </row>
    <row r="156" spans="1:28" ht="16.899999999999999" customHeight="1" x14ac:dyDescent="0.25">
      <c r="A156" s="66"/>
      <c r="B156" s="77"/>
      <c r="C156" s="63"/>
      <c r="D156" s="67"/>
      <c r="E156" s="100"/>
      <c r="F156" s="61"/>
      <c r="G156" s="61"/>
      <c r="H156" s="61"/>
      <c r="I156" s="61"/>
      <c r="J156" s="62"/>
      <c r="K156" s="61"/>
      <c r="L156" s="61"/>
      <c r="M156" s="62"/>
      <c r="N156" s="104"/>
      <c r="O156" s="61"/>
      <c r="P156" s="62"/>
      <c r="Q156" s="73"/>
      <c r="R156" s="68"/>
      <c r="S156" s="68"/>
      <c r="T156" s="68"/>
      <c r="U156" s="68"/>
      <c r="V156" s="68"/>
      <c r="W156" s="69"/>
      <c r="X156" s="68"/>
      <c r="Y156" s="70"/>
      <c r="Z156" s="68"/>
      <c r="AA156" s="68"/>
      <c r="AB156" s="68"/>
    </row>
    <row r="157" spans="1:28" ht="16.899999999999999" customHeight="1" x14ac:dyDescent="0.25">
      <c r="A157" s="66"/>
      <c r="B157" s="77"/>
      <c r="C157" s="63"/>
      <c r="D157" s="67"/>
      <c r="E157" s="100"/>
      <c r="F157" s="61"/>
      <c r="G157" s="61"/>
      <c r="H157" s="61"/>
      <c r="I157" s="61"/>
      <c r="J157" s="62"/>
      <c r="K157" s="61"/>
      <c r="L157" s="61"/>
      <c r="M157" s="62"/>
      <c r="N157" s="104"/>
      <c r="O157" s="61"/>
      <c r="P157" s="62"/>
      <c r="Q157" s="73"/>
      <c r="R157" s="68"/>
      <c r="S157" s="68"/>
      <c r="T157" s="68"/>
      <c r="U157" s="68"/>
      <c r="V157" s="68"/>
      <c r="W157" s="69"/>
      <c r="X157" s="68"/>
      <c r="Y157" s="70"/>
      <c r="Z157" s="68"/>
      <c r="AA157" s="68"/>
      <c r="AB157" s="68"/>
    </row>
    <row r="158" spans="1:28" ht="16.899999999999999" customHeight="1" x14ac:dyDescent="0.25">
      <c r="A158" s="66"/>
      <c r="B158" s="77"/>
      <c r="C158" s="63"/>
      <c r="D158" s="67"/>
      <c r="E158" s="100"/>
      <c r="F158" s="61"/>
      <c r="G158" s="61"/>
      <c r="H158" s="61"/>
      <c r="I158" s="61"/>
      <c r="J158" s="62"/>
      <c r="K158" s="61"/>
      <c r="L158" s="61"/>
      <c r="M158" s="62"/>
      <c r="N158" s="104"/>
      <c r="O158" s="61"/>
      <c r="P158" s="62"/>
      <c r="Q158" s="73"/>
      <c r="R158" s="68"/>
      <c r="S158" s="68"/>
      <c r="T158" s="68"/>
      <c r="U158" s="68"/>
      <c r="V158" s="68"/>
      <c r="W158" s="69"/>
      <c r="X158" s="68"/>
      <c r="Y158" s="70"/>
      <c r="Z158" s="68"/>
      <c r="AA158" s="68"/>
      <c r="AB158" s="68"/>
    </row>
    <row r="159" spans="1:28" ht="16.899999999999999" customHeight="1" x14ac:dyDescent="0.25">
      <c r="A159" s="66"/>
      <c r="B159" s="77"/>
      <c r="C159" s="63"/>
      <c r="D159" s="67"/>
      <c r="E159" s="100"/>
      <c r="F159" s="61"/>
      <c r="G159" s="61"/>
      <c r="H159" s="61"/>
      <c r="I159" s="61"/>
      <c r="J159" s="62"/>
      <c r="K159" s="61"/>
      <c r="L159" s="61"/>
      <c r="M159" s="62"/>
      <c r="N159" s="104"/>
      <c r="O159" s="61"/>
      <c r="P159" s="62"/>
      <c r="Q159" s="73"/>
      <c r="R159" s="68"/>
      <c r="S159" s="68"/>
      <c r="T159" s="68"/>
      <c r="U159" s="68"/>
      <c r="V159" s="68"/>
      <c r="W159" s="69"/>
      <c r="X159" s="68"/>
      <c r="Y159" s="70"/>
      <c r="Z159" s="68"/>
      <c r="AA159" s="68"/>
      <c r="AB159" s="68"/>
    </row>
    <row r="160" spans="1:28" ht="16.899999999999999" customHeight="1" x14ac:dyDescent="0.25">
      <c r="A160" s="66"/>
      <c r="B160" s="77"/>
      <c r="C160" s="63"/>
      <c r="D160" s="67"/>
      <c r="E160" s="100"/>
      <c r="F160" s="61"/>
      <c r="G160" s="61"/>
      <c r="H160" s="61"/>
      <c r="I160" s="61"/>
      <c r="J160" s="62"/>
      <c r="K160" s="61"/>
      <c r="L160" s="61"/>
      <c r="M160" s="62"/>
      <c r="N160" s="104"/>
      <c r="O160" s="61"/>
      <c r="P160" s="62"/>
      <c r="Q160" s="73"/>
      <c r="R160" s="68"/>
      <c r="S160" s="68"/>
      <c r="T160" s="68"/>
      <c r="U160" s="68"/>
      <c r="V160" s="68"/>
      <c r="W160" s="69"/>
      <c r="X160" s="68"/>
      <c r="Y160" s="70"/>
      <c r="Z160" s="68"/>
      <c r="AA160" s="68"/>
      <c r="AB160" s="68"/>
    </row>
    <row r="161" spans="1:28" ht="16.899999999999999" customHeight="1" x14ac:dyDescent="0.25">
      <c r="A161" s="66"/>
      <c r="B161" s="77"/>
      <c r="C161" s="63"/>
      <c r="D161" s="67"/>
      <c r="E161" s="100"/>
      <c r="F161" s="61"/>
      <c r="G161" s="61"/>
      <c r="H161" s="61"/>
      <c r="I161" s="61"/>
      <c r="J161" s="62"/>
      <c r="K161" s="61"/>
      <c r="L161" s="61"/>
      <c r="M161" s="62"/>
      <c r="N161" s="104"/>
      <c r="O161" s="61"/>
      <c r="P161" s="62"/>
      <c r="Q161" s="73"/>
      <c r="R161" s="68"/>
      <c r="S161" s="68"/>
      <c r="T161" s="68"/>
      <c r="U161" s="68"/>
      <c r="V161" s="68"/>
      <c r="W161" s="69"/>
      <c r="X161" s="68"/>
      <c r="Y161" s="70"/>
      <c r="Z161" s="68"/>
      <c r="AA161" s="68"/>
      <c r="AB161" s="68"/>
    </row>
    <row r="162" spans="1:28" ht="16.899999999999999" customHeight="1" x14ac:dyDescent="0.25">
      <c r="A162" s="66"/>
      <c r="B162" s="77"/>
      <c r="C162" s="63"/>
      <c r="D162" s="67"/>
      <c r="E162" s="100"/>
      <c r="F162" s="61"/>
      <c r="G162" s="61"/>
      <c r="H162" s="61"/>
      <c r="I162" s="61"/>
      <c r="J162" s="62"/>
      <c r="K162" s="61"/>
      <c r="L162" s="61"/>
      <c r="M162" s="62"/>
      <c r="N162" s="104"/>
      <c r="O162" s="61"/>
      <c r="P162" s="62"/>
      <c r="Q162" s="73"/>
      <c r="R162" s="68"/>
      <c r="S162" s="68"/>
      <c r="T162" s="68"/>
      <c r="U162" s="68"/>
      <c r="V162" s="68"/>
      <c r="W162" s="69"/>
      <c r="X162" s="68"/>
      <c r="Y162" s="70"/>
      <c r="Z162" s="68"/>
      <c r="AA162" s="68"/>
      <c r="AB162" s="68"/>
    </row>
    <row r="163" spans="1:28" ht="16.899999999999999" customHeight="1" x14ac:dyDescent="0.25">
      <c r="A163" s="66"/>
      <c r="B163" s="77"/>
      <c r="C163" s="63"/>
      <c r="D163" s="67"/>
      <c r="E163" s="100"/>
      <c r="F163" s="61"/>
      <c r="G163" s="61"/>
      <c r="H163" s="61"/>
      <c r="I163" s="61"/>
      <c r="J163" s="62"/>
      <c r="K163" s="61"/>
      <c r="L163" s="61"/>
      <c r="M163" s="62"/>
      <c r="N163" s="104"/>
      <c r="O163" s="61"/>
      <c r="P163" s="62"/>
      <c r="Q163" s="73"/>
      <c r="R163" s="68"/>
      <c r="S163" s="68"/>
      <c r="T163" s="68"/>
      <c r="U163" s="68"/>
      <c r="V163" s="68"/>
      <c r="W163" s="69"/>
      <c r="X163" s="68"/>
      <c r="Y163" s="70"/>
      <c r="Z163" s="68"/>
      <c r="AA163" s="68"/>
      <c r="AB163" s="68"/>
    </row>
    <row r="164" spans="1:28" ht="16.899999999999999" customHeight="1" x14ac:dyDescent="0.25">
      <c r="A164" s="66"/>
      <c r="B164" s="77"/>
      <c r="C164" s="63"/>
      <c r="D164" s="67"/>
      <c r="E164" s="100"/>
      <c r="F164" s="61"/>
      <c r="G164" s="61"/>
      <c r="H164" s="61"/>
      <c r="I164" s="61"/>
      <c r="J164" s="62"/>
      <c r="K164" s="61"/>
      <c r="L164" s="61"/>
      <c r="M164" s="62"/>
      <c r="N164" s="104"/>
      <c r="O164" s="61"/>
      <c r="P164" s="62"/>
      <c r="Q164" s="73"/>
      <c r="R164" s="68"/>
      <c r="S164" s="68"/>
      <c r="T164" s="68"/>
      <c r="U164" s="68"/>
      <c r="V164" s="68"/>
      <c r="W164" s="69"/>
      <c r="X164" s="68"/>
      <c r="Y164" s="70"/>
      <c r="Z164" s="68"/>
      <c r="AA164" s="68"/>
      <c r="AB164" s="68"/>
    </row>
    <row r="165" spans="1:28" ht="16.899999999999999" customHeight="1" x14ac:dyDescent="0.25">
      <c r="A165" s="66"/>
      <c r="B165" s="77"/>
      <c r="C165" s="63"/>
      <c r="D165" s="67"/>
      <c r="E165" s="100"/>
      <c r="F165" s="61"/>
      <c r="G165" s="61"/>
      <c r="H165" s="61"/>
      <c r="I165" s="61"/>
      <c r="J165" s="62"/>
      <c r="K165" s="61"/>
      <c r="L165" s="61"/>
      <c r="M165" s="62"/>
      <c r="N165" s="104"/>
      <c r="O165" s="61"/>
      <c r="P165" s="62"/>
      <c r="Q165" s="73"/>
      <c r="R165" s="68"/>
      <c r="S165" s="68"/>
      <c r="T165" s="68"/>
      <c r="U165" s="68"/>
      <c r="V165" s="68"/>
      <c r="W165" s="69"/>
      <c r="X165" s="68"/>
      <c r="Y165" s="70"/>
      <c r="Z165" s="68"/>
      <c r="AA165" s="68"/>
      <c r="AB165" s="68"/>
    </row>
    <row r="166" spans="1:28" ht="16.899999999999999" customHeight="1" x14ac:dyDescent="0.25">
      <c r="A166" s="66"/>
      <c r="B166" s="77"/>
      <c r="C166" s="63"/>
      <c r="D166" s="67"/>
      <c r="E166" s="100"/>
      <c r="F166" s="61"/>
      <c r="G166" s="61"/>
      <c r="H166" s="61"/>
      <c r="I166" s="61"/>
      <c r="J166" s="62"/>
      <c r="K166" s="61"/>
      <c r="L166" s="61"/>
      <c r="M166" s="62"/>
      <c r="N166" s="104"/>
      <c r="O166" s="61"/>
      <c r="P166" s="62"/>
      <c r="Q166" s="73"/>
      <c r="R166" s="68"/>
      <c r="S166" s="68"/>
      <c r="T166" s="68"/>
      <c r="U166" s="68"/>
      <c r="V166" s="68"/>
      <c r="W166" s="69"/>
      <c r="X166" s="68"/>
      <c r="Y166" s="70"/>
      <c r="Z166" s="68"/>
      <c r="AA166" s="68"/>
      <c r="AB166" s="68"/>
    </row>
    <row r="167" spans="1:28" ht="16.899999999999999" customHeight="1" x14ac:dyDescent="0.25">
      <c r="A167" s="66"/>
      <c r="B167" s="77"/>
      <c r="C167" s="63"/>
      <c r="D167" s="67"/>
      <c r="E167" s="100"/>
      <c r="F167" s="61"/>
      <c r="G167" s="61"/>
      <c r="H167" s="61"/>
      <c r="I167" s="61"/>
      <c r="J167" s="62"/>
      <c r="K167" s="61"/>
      <c r="L167" s="61"/>
      <c r="M167" s="62"/>
      <c r="N167" s="104"/>
      <c r="O167" s="61"/>
      <c r="P167" s="62"/>
      <c r="Q167" s="73"/>
      <c r="R167" s="68"/>
      <c r="S167" s="68"/>
      <c r="T167" s="68"/>
      <c r="U167" s="68"/>
      <c r="V167" s="68"/>
      <c r="W167" s="69"/>
      <c r="X167" s="68"/>
      <c r="Y167" s="70"/>
      <c r="Z167" s="68"/>
      <c r="AA167" s="68"/>
      <c r="AB167" s="68"/>
    </row>
    <row r="168" spans="1:28" ht="16.899999999999999" customHeight="1" x14ac:dyDescent="0.25">
      <c r="A168" s="66"/>
      <c r="B168" s="77"/>
      <c r="C168" s="63"/>
      <c r="D168" s="67"/>
      <c r="E168" s="100"/>
      <c r="F168" s="61"/>
      <c r="G168" s="61"/>
      <c r="H168" s="61"/>
      <c r="I168" s="61"/>
      <c r="J168" s="62"/>
      <c r="K168" s="61"/>
      <c r="L168" s="61"/>
      <c r="M168" s="62"/>
      <c r="N168" s="104"/>
      <c r="O168" s="61"/>
      <c r="P168" s="62"/>
      <c r="Q168" s="73"/>
      <c r="R168" s="68"/>
      <c r="S168" s="68"/>
      <c r="T168" s="68"/>
      <c r="U168" s="68"/>
      <c r="V168" s="68"/>
      <c r="W168" s="69"/>
      <c r="X168" s="68"/>
      <c r="Y168" s="70"/>
      <c r="Z168" s="68"/>
      <c r="AA168" s="68"/>
      <c r="AB168" s="68"/>
    </row>
    <row r="169" spans="1:28" ht="16.899999999999999" customHeight="1" x14ac:dyDescent="0.25">
      <c r="A169" s="66"/>
      <c r="B169" s="77"/>
      <c r="C169" s="63"/>
      <c r="D169" s="67"/>
      <c r="E169" s="100"/>
      <c r="F169" s="61"/>
      <c r="G169" s="61"/>
      <c r="H169" s="61"/>
      <c r="I169" s="61"/>
      <c r="J169" s="62"/>
      <c r="K169" s="61"/>
      <c r="L169" s="61"/>
      <c r="M169" s="62"/>
      <c r="N169" s="104"/>
      <c r="O169" s="61"/>
      <c r="P169" s="62"/>
      <c r="Q169" s="73"/>
      <c r="R169" s="68"/>
      <c r="S169" s="68"/>
      <c r="T169" s="68"/>
      <c r="U169" s="68"/>
      <c r="V169" s="68"/>
      <c r="W169" s="69"/>
      <c r="X169" s="68"/>
      <c r="Y169" s="70"/>
      <c r="Z169" s="68"/>
      <c r="AA169" s="68"/>
      <c r="AB169" s="68"/>
    </row>
    <row r="170" spans="1:28" ht="16.899999999999999" customHeight="1" x14ac:dyDescent="0.25">
      <c r="A170" s="66"/>
      <c r="B170" s="77"/>
      <c r="C170" s="63"/>
      <c r="D170" s="67"/>
      <c r="E170" s="100"/>
      <c r="F170" s="61"/>
      <c r="G170" s="61"/>
      <c r="H170" s="61"/>
      <c r="I170" s="61"/>
      <c r="J170" s="62"/>
      <c r="K170" s="61"/>
      <c r="L170" s="61"/>
      <c r="M170" s="62"/>
      <c r="N170" s="104"/>
      <c r="O170" s="61"/>
      <c r="P170" s="62"/>
      <c r="Q170" s="73"/>
      <c r="R170" s="68"/>
      <c r="S170" s="68"/>
      <c r="T170" s="68"/>
      <c r="U170" s="68"/>
      <c r="V170" s="68"/>
      <c r="W170" s="69"/>
      <c r="X170" s="68"/>
      <c r="Y170" s="70"/>
      <c r="Z170" s="68"/>
      <c r="AA170" s="68"/>
      <c r="AB170" s="68"/>
    </row>
    <row r="171" spans="1:28" ht="16.899999999999999" customHeight="1" x14ac:dyDescent="0.25">
      <c r="A171" s="66"/>
      <c r="B171" s="77"/>
      <c r="C171" s="63"/>
      <c r="D171" s="67"/>
      <c r="E171" s="100"/>
      <c r="F171" s="61"/>
      <c r="G171" s="61"/>
      <c r="H171" s="61"/>
      <c r="I171" s="61"/>
      <c r="J171" s="62"/>
      <c r="K171" s="61"/>
      <c r="L171" s="61"/>
      <c r="M171" s="62"/>
      <c r="N171" s="104"/>
      <c r="O171" s="61"/>
      <c r="P171" s="62"/>
      <c r="Q171" s="73"/>
      <c r="R171" s="68"/>
      <c r="S171" s="68"/>
      <c r="T171" s="68"/>
      <c r="U171" s="68"/>
      <c r="V171" s="68"/>
      <c r="W171" s="69"/>
      <c r="X171" s="68"/>
      <c r="Y171" s="70"/>
      <c r="Z171" s="68"/>
      <c r="AA171" s="68"/>
      <c r="AB171" s="68"/>
    </row>
    <row r="172" spans="1:28" ht="16.899999999999999" customHeight="1" x14ac:dyDescent="0.25">
      <c r="A172" s="66"/>
      <c r="B172" s="77"/>
      <c r="C172" s="63"/>
      <c r="D172" s="67"/>
      <c r="E172" s="100"/>
      <c r="F172" s="61"/>
      <c r="G172" s="61"/>
      <c r="H172" s="61"/>
      <c r="I172" s="61"/>
      <c r="J172" s="62"/>
      <c r="K172" s="61"/>
      <c r="L172" s="61"/>
      <c r="M172" s="62"/>
      <c r="N172" s="104"/>
      <c r="O172" s="61"/>
      <c r="P172" s="62"/>
      <c r="Q172" s="73"/>
      <c r="R172" s="68"/>
      <c r="S172" s="68"/>
      <c r="T172" s="68"/>
      <c r="U172" s="68"/>
      <c r="V172" s="68"/>
      <c r="W172" s="69"/>
      <c r="X172" s="68"/>
      <c r="Y172" s="70"/>
      <c r="Z172" s="68"/>
      <c r="AA172" s="68"/>
      <c r="AB172" s="68"/>
    </row>
    <row r="173" spans="1:28" ht="16.899999999999999" customHeight="1" x14ac:dyDescent="0.25">
      <c r="A173" s="66"/>
      <c r="B173" s="77"/>
      <c r="C173" s="63"/>
      <c r="D173" s="67"/>
      <c r="E173" s="100"/>
      <c r="F173" s="61"/>
      <c r="G173" s="61"/>
      <c r="H173" s="61"/>
      <c r="I173" s="61"/>
      <c r="J173" s="62"/>
      <c r="K173" s="61"/>
      <c r="L173" s="61"/>
      <c r="M173" s="62"/>
      <c r="N173" s="104"/>
      <c r="O173" s="61"/>
      <c r="P173" s="62"/>
      <c r="Q173" s="73"/>
      <c r="R173" s="68"/>
      <c r="S173" s="68"/>
      <c r="T173" s="68"/>
      <c r="U173" s="68"/>
      <c r="V173" s="68"/>
      <c r="W173" s="69"/>
      <c r="X173" s="68"/>
      <c r="Y173" s="70"/>
      <c r="Z173" s="68"/>
      <c r="AA173" s="68"/>
      <c r="AB173" s="68"/>
    </row>
    <row r="174" spans="1:28" ht="16.899999999999999" customHeight="1" x14ac:dyDescent="0.25">
      <c r="A174" s="66"/>
      <c r="B174" s="77"/>
      <c r="C174" s="63"/>
      <c r="D174" s="67"/>
      <c r="E174" s="100"/>
      <c r="F174" s="61"/>
      <c r="G174" s="61"/>
      <c r="H174" s="61"/>
      <c r="I174" s="61"/>
      <c r="J174" s="62"/>
      <c r="K174" s="61"/>
      <c r="L174" s="61"/>
      <c r="M174" s="62"/>
      <c r="N174" s="104"/>
      <c r="O174" s="61"/>
      <c r="P174" s="62"/>
      <c r="Q174" s="73"/>
      <c r="R174" s="68"/>
      <c r="S174" s="68"/>
      <c r="T174" s="68"/>
      <c r="U174" s="68"/>
      <c r="V174" s="68"/>
      <c r="W174" s="69"/>
      <c r="X174" s="68"/>
      <c r="Y174" s="70"/>
      <c r="Z174" s="68"/>
      <c r="AA174" s="68"/>
      <c r="AB174" s="68"/>
    </row>
    <row r="175" spans="1:28" ht="16.899999999999999" customHeight="1" x14ac:dyDescent="0.25">
      <c r="A175" s="66"/>
      <c r="B175" s="77"/>
      <c r="C175" s="63"/>
      <c r="D175" s="67"/>
      <c r="E175" s="100"/>
      <c r="F175" s="61"/>
      <c r="G175" s="61"/>
      <c r="H175" s="61"/>
      <c r="I175" s="61"/>
      <c r="J175" s="62"/>
      <c r="K175" s="61"/>
      <c r="L175" s="61"/>
      <c r="M175" s="62"/>
      <c r="N175" s="104"/>
      <c r="O175" s="61"/>
      <c r="P175" s="62"/>
      <c r="Q175" s="73"/>
      <c r="R175" s="68"/>
      <c r="S175" s="68"/>
      <c r="T175" s="68"/>
      <c r="U175" s="68"/>
      <c r="V175" s="68"/>
      <c r="W175" s="69"/>
      <c r="X175" s="68"/>
      <c r="Y175" s="70"/>
      <c r="Z175" s="68"/>
      <c r="AA175" s="68"/>
      <c r="AB175" s="68"/>
    </row>
    <row r="176" spans="1:28" ht="16.899999999999999" customHeight="1" x14ac:dyDescent="0.25">
      <c r="A176" s="66"/>
      <c r="B176" s="77"/>
      <c r="C176" s="63"/>
      <c r="D176" s="67"/>
      <c r="E176" s="100"/>
      <c r="F176" s="61"/>
      <c r="G176" s="61"/>
      <c r="H176" s="61"/>
      <c r="I176" s="61"/>
      <c r="J176" s="62"/>
      <c r="K176" s="61"/>
      <c r="L176" s="61"/>
      <c r="M176" s="62"/>
      <c r="N176" s="104"/>
      <c r="O176" s="61"/>
      <c r="P176" s="62"/>
      <c r="Q176" s="73"/>
      <c r="R176" s="68"/>
      <c r="S176" s="68"/>
      <c r="T176" s="68"/>
      <c r="U176" s="68"/>
      <c r="V176" s="68"/>
      <c r="W176" s="69"/>
      <c r="X176" s="68"/>
      <c r="Y176" s="70"/>
      <c r="Z176" s="68"/>
      <c r="AA176" s="68"/>
      <c r="AB176" s="68"/>
    </row>
    <row r="177" spans="1:28" ht="16.899999999999999" customHeight="1" x14ac:dyDescent="0.25">
      <c r="A177" s="66"/>
      <c r="B177" s="77"/>
      <c r="C177" s="63"/>
      <c r="D177" s="67"/>
      <c r="E177" s="100"/>
      <c r="F177" s="61"/>
      <c r="G177" s="61"/>
      <c r="H177" s="61"/>
      <c r="I177" s="61"/>
      <c r="J177" s="62"/>
      <c r="K177" s="61"/>
      <c r="L177" s="61"/>
      <c r="M177" s="62"/>
      <c r="N177" s="104"/>
      <c r="O177" s="61"/>
      <c r="P177" s="62"/>
      <c r="Q177" s="73"/>
      <c r="R177" s="68"/>
      <c r="S177" s="68"/>
      <c r="T177" s="68"/>
      <c r="U177" s="68"/>
      <c r="V177" s="68"/>
      <c r="W177" s="69"/>
      <c r="X177" s="68"/>
      <c r="Y177" s="70"/>
      <c r="Z177" s="68"/>
      <c r="AA177" s="68"/>
      <c r="AB177" s="68"/>
    </row>
    <row r="178" spans="1:28" ht="16.899999999999999" customHeight="1" x14ac:dyDescent="0.25">
      <c r="A178" s="66"/>
      <c r="B178" s="77"/>
      <c r="C178" s="63"/>
      <c r="D178" s="67"/>
      <c r="E178" s="100"/>
      <c r="F178" s="61"/>
      <c r="G178" s="61"/>
      <c r="H178" s="61"/>
      <c r="I178" s="61"/>
      <c r="J178" s="62"/>
      <c r="K178" s="61"/>
      <c r="L178" s="61"/>
      <c r="M178" s="62"/>
      <c r="N178" s="104"/>
      <c r="O178" s="61"/>
      <c r="P178" s="62"/>
      <c r="Q178" s="73"/>
      <c r="R178" s="68"/>
      <c r="S178" s="68"/>
      <c r="T178" s="68"/>
      <c r="U178" s="68"/>
      <c r="V178" s="68"/>
      <c r="W178" s="69"/>
      <c r="X178" s="68"/>
      <c r="Y178" s="70"/>
      <c r="Z178" s="68"/>
      <c r="AA178" s="68"/>
      <c r="AB178" s="68"/>
    </row>
    <row r="179" spans="1:28" ht="16.899999999999999" customHeight="1" x14ac:dyDescent="0.25">
      <c r="A179" s="66"/>
      <c r="B179" s="77"/>
      <c r="C179" s="63"/>
      <c r="D179" s="67"/>
      <c r="E179" s="100"/>
      <c r="F179" s="61"/>
      <c r="G179" s="61"/>
      <c r="H179" s="61"/>
      <c r="I179" s="61"/>
      <c r="J179" s="62"/>
      <c r="K179" s="61"/>
      <c r="L179" s="61"/>
      <c r="M179" s="62"/>
      <c r="N179" s="104"/>
      <c r="O179" s="61"/>
      <c r="P179" s="62"/>
      <c r="Q179" s="73"/>
      <c r="R179" s="68"/>
      <c r="S179" s="68"/>
      <c r="T179" s="68"/>
      <c r="U179" s="68"/>
      <c r="V179" s="68"/>
      <c r="W179" s="69"/>
      <c r="X179" s="68"/>
      <c r="Y179" s="70"/>
      <c r="Z179" s="68"/>
      <c r="AA179" s="68"/>
      <c r="AB179" s="68"/>
    </row>
    <row r="180" spans="1:28" ht="16.899999999999999" customHeight="1" x14ac:dyDescent="0.25">
      <c r="A180" s="66"/>
      <c r="B180" s="77"/>
      <c r="C180" s="63"/>
      <c r="D180" s="67"/>
      <c r="E180" s="100"/>
      <c r="F180" s="61"/>
      <c r="G180" s="61"/>
      <c r="H180" s="61"/>
      <c r="I180" s="61"/>
      <c r="J180" s="62"/>
      <c r="K180" s="61"/>
      <c r="L180" s="61"/>
      <c r="M180" s="62"/>
      <c r="N180" s="104"/>
      <c r="O180" s="61"/>
      <c r="P180" s="62"/>
      <c r="Q180" s="73"/>
      <c r="R180" s="68"/>
      <c r="S180" s="68"/>
      <c r="T180" s="68"/>
      <c r="U180" s="68"/>
      <c r="V180" s="68"/>
      <c r="W180" s="69"/>
      <c r="X180" s="68"/>
      <c r="Y180" s="70"/>
      <c r="Z180" s="68"/>
      <c r="AA180" s="68"/>
      <c r="AB180" s="68"/>
    </row>
    <row r="181" spans="1:28" ht="16.899999999999999" customHeight="1" x14ac:dyDescent="0.25">
      <c r="A181" s="66"/>
      <c r="B181" s="77"/>
      <c r="C181" s="63"/>
      <c r="D181" s="67"/>
      <c r="E181" s="100"/>
      <c r="F181" s="61"/>
      <c r="G181" s="61"/>
      <c r="H181" s="61"/>
      <c r="I181" s="61"/>
      <c r="J181" s="62"/>
      <c r="K181" s="61"/>
      <c r="L181" s="61"/>
      <c r="M181" s="62"/>
      <c r="N181" s="104"/>
      <c r="O181" s="61"/>
      <c r="P181" s="62"/>
      <c r="Q181" s="73"/>
      <c r="R181" s="68"/>
      <c r="S181" s="68"/>
      <c r="T181" s="68"/>
      <c r="U181" s="68"/>
      <c r="V181" s="68"/>
      <c r="W181" s="69"/>
      <c r="X181" s="68"/>
      <c r="Y181" s="70"/>
      <c r="Z181" s="68"/>
      <c r="AA181" s="68"/>
      <c r="AB181" s="68"/>
    </row>
    <row r="182" spans="1:28" ht="16.899999999999999" customHeight="1" x14ac:dyDescent="0.25">
      <c r="A182" s="66"/>
      <c r="B182" s="77"/>
      <c r="C182" s="63"/>
      <c r="D182" s="67"/>
      <c r="E182" s="100"/>
      <c r="F182" s="61"/>
      <c r="G182" s="61"/>
      <c r="H182" s="61"/>
      <c r="I182" s="61"/>
      <c r="J182" s="62"/>
      <c r="K182" s="61"/>
      <c r="L182" s="61"/>
      <c r="M182" s="62"/>
      <c r="N182" s="104"/>
      <c r="O182" s="61"/>
      <c r="P182" s="62"/>
      <c r="Q182" s="73"/>
      <c r="R182" s="68"/>
      <c r="S182" s="68"/>
      <c r="T182" s="68"/>
      <c r="U182" s="68"/>
      <c r="V182" s="68"/>
      <c r="W182" s="69"/>
      <c r="X182" s="68"/>
      <c r="Y182" s="70"/>
      <c r="Z182" s="68"/>
      <c r="AA182" s="68"/>
      <c r="AB182" s="68"/>
    </row>
    <row r="183" spans="1:28" ht="16.899999999999999" customHeight="1" x14ac:dyDescent="0.25">
      <c r="A183" s="66"/>
      <c r="B183" s="77"/>
      <c r="C183" s="63"/>
      <c r="D183" s="67"/>
      <c r="E183" s="100"/>
      <c r="F183" s="61"/>
      <c r="G183" s="61"/>
      <c r="H183" s="61"/>
      <c r="I183" s="61"/>
      <c r="J183" s="62"/>
      <c r="K183" s="61"/>
      <c r="L183" s="61"/>
      <c r="M183" s="62"/>
      <c r="N183" s="104"/>
      <c r="O183" s="61"/>
      <c r="P183" s="62"/>
      <c r="Q183" s="73"/>
      <c r="R183" s="68"/>
      <c r="S183" s="68"/>
      <c r="T183" s="68"/>
      <c r="U183" s="68"/>
      <c r="V183" s="68"/>
      <c r="W183" s="69"/>
      <c r="X183" s="68"/>
      <c r="Y183" s="70"/>
      <c r="Z183" s="68"/>
      <c r="AA183" s="68"/>
      <c r="AB183" s="68"/>
    </row>
    <row r="184" spans="1:28" ht="16.899999999999999" customHeight="1" x14ac:dyDescent="0.25">
      <c r="A184" s="66"/>
      <c r="B184" s="77"/>
      <c r="C184" s="63"/>
      <c r="D184" s="67"/>
      <c r="E184" s="100"/>
      <c r="F184" s="61"/>
      <c r="G184" s="61"/>
      <c r="H184" s="61"/>
      <c r="I184" s="61"/>
      <c r="J184" s="62"/>
      <c r="K184" s="61"/>
      <c r="L184" s="61"/>
      <c r="M184" s="62"/>
      <c r="N184" s="104"/>
      <c r="O184" s="61"/>
      <c r="P184" s="62"/>
      <c r="Q184" s="73"/>
      <c r="R184" s="68"/>
      <c r="S184" s="68"/>
      <c r="T184" s="68"/>
      <c r="U184" s="68"/>
      <c r="V184" s="68"/>
      <c r="W184" s="69"/>
      <c r="X184" s="68"/>
      <c r="Y184" s="70"/>
      <c r="Z184" s="68"/>
      <c r="AA184" s="68"/>
      <c r="AB184" s="68"/>
    </row>
    <row r="185" spans="1:28" ht="16.899999999999999" customHeight="1" x14ac:dyDescent="0.25">
      <c r="A185" s="66"/>
      <c r="B185" s="77"/>
      <c r="C185" s="63"/>
      <c r="D185" s="67"/>
      <c r="E185" s="100"/>
      <c r="F185" s="61"/>
      <c r="G185" s="61"/>
      <c r="H185" s="61"/>
      <c r="I185" s="61"/>
      <c r="J185" s="62"/>
      <c r="K185" s="61"/>
      <c r="L185" s="61"/>
      <c r="M185" s="62"/>
      <c r="N185" s="104"/>
      <c r="O185" s="61"/>
      <c r="P185" s="62"/>
      <c r="Q185" s="73"/>
      <c r="R185" s="68"/>
      <c r="S185" s="68"/>
      <c r="T185" s="68"/>
      <c r="U185" s="68"/>
      <c r="V185" s="68"/>
      <c r="W185" s="69"/>
      <c r="X185" s="68"/>
      <c r="Y185" s="70"/>
      <c r="Z185" s="68"/>
      <c r="AA185" s="68"/>
      <c r="AB185" s="68"/>
    </row>
    <row r="186" spans="1:28" ht="16.899999999999999" customHeight="1" x14ac:dyDescent="0.25">
      <c r="A186" s="66"/>
      <c r="B186" s="77"/>
      <c r="C186" s="63"/>
      <c r="D186" s="67"/>
      <c r="E186" s="100"/>
      <c r="F186" s="61"/>
      <c r="G186" s="61"/>
      <c r="H186" s="61"/>
      <c r="I186" s="61"/>
      <c r="J186" s="62"/>
      <c r="K186" s="61"/>
      <c r="L186" s="61"/>
      <c r="M186" s="62"/>
      <c r="N186" s="104"/>
      <c r="O186" s="61"/>
      <c r="P186" s="62"/>
      <c r="Q186" s="73"/>
      <c r="R186" s="68"/>
      <c r="S186" s="68"/>
      <c r="T186" s="68"/>
      <c r="U186" s="68"/>
      <c r="V186" s="68"/>
      <c r="W186" s="69"/>
      <c r="X186" s="68"/>
      <c r="Y186" s="70"/>
      <c r="Z186" s="68"/>
      <c r="AA186" s="68"/>
      <c r="AB186" s="68"/>
    </row>
    <row r="187" spans="1:28" ht="16.899999999999999" customHeight="1" x14ac:dyDescent="0.25">
      <c r="A187" s="66"/>
      <c r="B187" s="77"/>
      <c r="C187" s="63"/>
      <c r="D187" s="67"/>
      <c r="E187" s="100"/>
      <c r="F187" s="61"/>
      <c r="G187" s="61"/>
      <c r="H187" s="61"/>
      <c r="I187" s="61"/>
      <c r="J187" s="62"/>
      <c r="K187" s="61"/>
      <c r="L187" s="61"/>
      <c r="M187" s="62"/>
      <c r="N187" s="104"/>
      <c r="O187" s="61"/>
      <c r="P187" s="62"/>
      <c r="Q187" s="73"/>
      <c r="R187" s="68"/>
      <c r="S187" s="68"/>
      <c r="T187" s="68"/>
      <c r="U187" s="68"/>
      <c r="V187" s="68"/>
      <c r="W187" s="69"/>
      <c r="X187" s="68"/>
      <c r="Y187" s="70"/>
      <c r="Z187" s="68"/>
      <c r="AA187" s="68"/>
      <c r="AB187" s="68"/>
    </row>
    <row r="188" spans="1:28" ht="16.899999999999999" customHeight="1" x14ac:dyDescent="0.25">
      <c r="A188" s="66"/>
      <c r="B188" s="77"/>
      <c r="C188" s="63"/>
      <c r="D188" s="67"/>
      <c r="E188" s="100"/>
      <c r="F188" s="61"/>
      <c r="G188" s="61"/>
      <c r="H188" s="61"/>
      <c r="I188" s="61"/>
      <c r="J188" s="62"/>
      <c r="K188" s="61"/>
      <c r="L188" s="61"/>
      <c r="M188" s="62"/>
      <c r="N188" s="104"/>
      <c r="O188" s="61"/>
      <c r="P188" s="62"/>
      <c r="Q188" s="73"/>
      <c r="R188" s="68"/>
      <c r="S188" s="68"/>
      <c r="T188" s="68"/>
      <c r="U188" s="68"/>
      <c r="V188" s="68"/>
      <c r="W188" s="69"/>
      <c r="X188" s="68"/>
      <c r="Y188" s="70"/>
      <c r="Z188" s="68"/>
      <c r="AA188" s="68"/>
      <c r="AB188" s="68"/>
    </row>
    <row r="189" spans="1:28" ht="16.899999999999999" customHeight="1" x14ac:dyDescent="0.25">
      <c r="A189" s="66"/>
      <c r="B189" s="77"/>
      <c r="C189" s="63"/>
      <c r="D189" s="67"/>
      <c r="E189" s="100"/>
      <c r="F189" s="61"/>
      <c r="G189" s="61"/>
      <c r="H189" s="61"/>
      <c r="I189" s="61"/>
      <c r="J189" s="62"/>
      <c r="K189" s="61"/>
      <c r="L189" s="61"/>
      <c r="M189" s="62"/>
      <c r="N189" s="104"/>
      <c r="O189" s="61"/>
      <c r="P189" s="62"/>
      <c r="Q189" s="73"/>
      <c r="R189" s="68"/>
      <c r="S189" s="68"/>
      <c r="T189" s="68"/>
      <c r="U189" s="68"/>
      <c r="V189" s="68"/>
      <c r="W189" s="69"/>
      <c r="X189" s="68"/>
      <c r="Y189" s="70"/>
      <c r="Z189" s="68"/>
      <c r="AA189" s="68"/>
      <c r="AB189" s="68"/>
    </row>
    <row r="190" spans="1:28" ht="16.899999999999999" customHeight="1" x14ac:dyDescent="0.25">
      <c r="A190" s="66"/>
      <c r="B190" s="77"/>
      <c r="C190" s="63"/>
      <c r="D190" s="67"/>
      <c r="E190" s="100"/>
      <c r="F190" s="61"/>
      <c r="G190" s="61"/>
      <c r="H190" s="61"/>
      <c r="I190" s="61"/>
      <c r="J190" s="62"/>
      <c r="K190" s="61"/>
      <c r="L190" s="61"/>
      <c r="M190" s="62"/>
      <c r="N190" s="104"/>
      <c r="O190" s="61"/>
      <c r="P190" s="62"/>
      <c r="Q190" s="73"/>
      <c r="R190" s="68"/>
      <c r="S190" s="68"/>
      <c r="T190" s="68"/>
      <c r="U190" s="68"/>
      <c r="V190" s="68"/>
      <c r="W190" s="69"/>
      <c r="X190" s="68"/>
      <c r="Y190" s="70"/>
      <c r="Z190" s="68"/>
      <c r="AA190" s="68"/>
      <c r="AB190" s="68"/>
    </row>
    <row r="191" spans="1:28" ht="16.899999999999999" customHeight="1" x14ac:dyDescent="0.25">
      <c r="A191" s="66"/>
      <c r="B191" s="77"/>
      <c r="C191" s="63"/>
      <c r="D191" s="67"/>
      <c r="E191" s="100"/>
      <c r="F191" s="61"/>
      <c r="G191" s="61"/>
      <c r="H191" s="61"/>
      <c r="I191" s="61"/>
      <c r="J191" s="62"/>
      <c r="K191" s="61"/>
      <c r="L191" s="61"/>
      <c r="M191" s="62"/>
      <c r="N191" s="104"/>
      <c r="O191" s="61"/>
      <c r="P191" s="62"/>
      <c r="Q191" s="73"/>
      <c r="R191" s="68"/>
      <c r="S191" s="68"/>
      <c r="T191" s="68"/>
      <c r="U191" s="68"/>
      <c r="V191" s="68"/>
      <c r="W191" s="69"/>
      <c r="X191" s="68"/>
      <c r="Y191" s="70"/>
      <c r="Z191" s="68"/>
      <c r="AA191" s="68"/>
      <c r="AB191" s="68"/>
    </row>
    <row r="192" spans="1:28" ht="16.899999999999999" customHeight="1" x14ac:dyDescent="0.25">
      <c r="A192" s="66"/>
      <c r="B192" s="77"/>
      <c r="C192" s="63"/>
      <c r="D192" s="67"/>
      <c r="E192" s="100"/>
      <c r="F192" s="61"/>
      <c r="G192" s="61"/>
      <c r="H192" s="61"/>
      <c r="I192" s="61"/>
      <c r="J192" s="62"/>
      <c r="K192" s="61"/>
      <c r="L192" s="61"/>
      <c r="M192" s="62"/>
      <c r="N192" s="104"/>
      <c r="O192" s="61"/>
      <c r="P192" s="62"/>
      <c r="Q192" s="73"/>
      <c r="R192" s="68"/>
      <c r="S192" s="68"/>
      <c r="T192" s="68"/>
      <c r="U192" s="68"/>
      <c r="V192" s="68"/>
      <c r="W192" s="69"/>
      <c r="X192" s="68"/>
      <c r="Y192" s="70"/>
      <c r="Z192" s="68"/>
      <c r="AA192" s="68"/>
      <c r="AB192" s="68"/>
    </row>
    <row r="193" spans="1:28" ht="16.899999999999999" customHeight="1" x14ac:dyDescent="0.25">
      <c r="A193" s="66"/>
      <c r="B193" s="77"/>
      <c r="C193" s="63"/>
      <c r="D193" s="67"/>
      <c r="E193" s="100"/>
      <c r="F193" s="61"/>
      <c r="G193" s="61"/>
      <c r="H193" s="61"/>
      <c r="I193" s="61"/>
      <c r="J193" s="62"/>
      <c r="K193" s="61"/>
      <c r="L193" s="61"/>
      <c r="M193" s="62"/>
      <c r="N193" s="104"/>
      <c r="O193" s="61"/>
      <c r="P193" s="62"/>
      <c r="Q193" s="73"/>
      <c r="R193" s="68"/>
      <c r="S193" s="68"/>
      <c r="T193" s="68"/>
      <c r="U193" s="68"/>
      <c r="V193" s="68"/>
      <c r="W193" s="69"/>
      <c r="X193" s="68"/>
      <c r="Y193" s="70"/>
      <c r="Z193" s="68"/>
      <c r="AA193" s="68"/>
      <c r="AB193" s="68"/>
    </row>
    <row r="194" spans="1:28" ht="16.899999999999999" customHeight="1" x14ac:dyDescent="0.25">
      <c r="A194" s="66"/>
      <c r="B194" s="77"/>
      <c r="C194" s="63"/>
      <c r="D194" s="67"/>
      <c r="E194" s="100"/>
      <c r="F194" s="61"/>
      <c r="G194" s="61"/>
      <c r="H194" s="61"/>
      <c r="I194" s="61"/>
      <c r="J194" s="62"/>
      <c r="K194" s="61"/>
      <c r="L194" s="61"/>
      <c r="M194" s="62"/>
      <c r="N194" s="104"/>
      <c r="O194" s="61"/>
      <c r="P194" s="62"/>
      <c r="Q194" s="73"/>
      <c r="R194" s="68"/>
      <c r="S194" s="68"/>
      <c r="T194" s="68"/>
      <c r="U194" s="68"/>
      <c r="V194" s="68"/>
      <c r="W194" s="69"/>
      <c r="X194" s="68"/>
      <c r="Y194" s="70"/>
      <c r="Z194" s="68"/>
      <c r="AA194" s="68"/>
      <c r="AB194" s="68"/>
    </row>
    <row r="195" spans="1:28" ht="16.899999999999999" customHeight="1" x14ac:dyDescent="0.25">
      <c r="A195" s="66"/>
      <c r="B195" s="77"/>
      <c r="C195" s="63"/>
      <c r="D195" s="67"/>
      <c r="E195" s="100"/>
      <c r="F195" s="61"/>
      <c r="G195" s="61"/>
      <c r="H195" s="61"/>
      <c r="I195" s="61"/>
      <c r="J195" s="62"/>
      <c r="K195" s="61"/>
      <c r="L195" s="61"/>
      <c r="M195" s="62"/>
      <c r="N195" s="104"/>
      <c r="O195" s="61"/>
      <c r="P195" s="62"/>
      <c r="Q195" s="73"/>
      <c r="R195" s="68"/>
      <c r="S195" s="68"/>
      <c r="T195" s="68"/>
      <c r="U195" s="68"/>
      <c r="V195" s="68"/>
      <c r="W195" s="69"/>
      <c r="X195" s="68"/>
      <c r="Y195" s="70"/>
      <c r="Z195" s="68"/>
      <c r="AA195" s="68"/>
      <c r="AB195" s="68"/>
    </row>
    <row r="196" spans="1:28" ht="16.899999999999999" customHeight="1" x14ac:dyDescent="0.25">
      <c r="A196" s="66"/>
      <c r="B196" s="77"/>
      <c r="C196" s="63"/>
      <c r="D196" s="67"/>
      <c r="E196" s="100"/>
      <c r="F196" s="61"/>
      <c r="G196" s="61"/>
      <c r="H196" s="61"/>
      <c r="I196" s="61"/>
      <c r="J196" s="62"/>
      <c r="K196" s="61"/>
      <c r="L196" s="61"/>
      <c r="M196" s="62"/>
      <c r="N196" s="104"/>
      <c r="O196" s="61"/>
      <c r="P196" s="62"/>
      <c r="Q196" s="73"/>
      <c r="R196" s="68"/>
      <c r="S196" s="68"/>
      <c r="T196" s="68"/>
      <c r="U196" s="68"/>
      <c r="V196" s="68"/>
      <c r="W196" s="69"/>
      <c r="X196" s="68"/>
      <c r="Y196" s="70"/>
      <c r="Z196" s="68"/>
      <c r="AA196" s="68"/>
      <c r="AB196" s="68"/>
    </row>
    <row r="197" spans="1:28" ht="16.899999999999999" customHeight="1" x14ac:dyDescent="0.25">
      <c r="A197" s="66"/>
      <c r="B197" s="77"/>
      <c r="C197" s="63"/>
      <c r="D197" s="67"/>
      <c r="E197" s="100"/>
      <c r="F197" s="61"/>
      <c r="G197" s="61"/>
      <c r="H197" s="61"/>
      <c r="I197" s="61"/>
      <c r="J197" s="62"/>
      <c r="K197" s="61"/>
      <c r="L197" s="61"/>
      <c r="M197" s="62"/>
      <c r="N197" s="104"/>
      <c r="O197" s="61"/>
      <c r="P197" s="62"/>
      <c r="Q197" s="73"/>
      <c r="R197" s="68"/>
      <c r="S197" s="68"/>
      <c r="T197" s="68"/>
      <c r="U197" s="68"/>
      <c r="V197" s="68"/>
      <c r="W197" s="69"/>
      <c r="X197" s="68"/>
      <c r="Y197" s="70"/>
      <c r="Z197" s="68"/>
      <c r="AA197" s="68"/>
      <c r="AB197" s="68"/>
    </row>
    <row r="198" spans="1:28" ht="16.899999999999999" customHeight="1" x14ac:dyDescent="0.25">
      <c r="A198" s="66"/>
      <c r="B198" s="77"/>
      <c r="C198" s="63"/>
      <c r="D198" s="67"/>
      <c r="E198" s="100"/>
      <c r="F198" s="61"/>
      <c r="G198" s="61"/>
      <c r="H198" s="61"/>
      <c r="I198" s="61"/>
      <c r="J198" s="62"/>
      <c r="K198" s="61"/>
      <c r="L198" s="61"/>
      <c r="M198" s="62"/>
      <c r="N198" s="104"/>
      <c r="O198" s="61"/>
      <c r="P198" s="62"/>
      <c r="Q198" s="73"/>
      <c r="R198" s="68"/>
      <c r="S198" s="68"/>
      <c r="T198" s="68"/>
      <c r="U198" s="68"/>
      <c r="V198" s="68"/>
      <c r="W198" s="69"/>
      <c r="X198" s="68"/>
      <c r="Y198" s="70"/>
      <c r="Z198" s="68"/>
      <c r="AA198" s="68"/>
      <c r="AB198" s="68"/>
    </row>
    <row r="199" spans="1:28" ht="16.899999999999999" customHeight="1" x14ac:dyDescent="0.25">
      <c r="A199" s="66"/>
      <c r="B199" s="77"/>
      <c r="C199" s="63"/>
      <c r="D199" s="67"/>
      <c r="E199" s="100"/>
      <c r="F199" s="61"/>
      <c r="G199" s="61"/>
      <c r="H199" s="61"/>
      <c r="I199" s="61"/>
      <c r="J199" s="62"/>
      <c r="K199" s="61"/>
      <c r="L199" s="61"/>
      <c r="M199" s="62"/>
      <c r="N199" s="104"/>
      <c r="O199" s="61"/>
      <c r="P199" s="62"/>
      <c r="Q199" s="73"/>
      <c r="R199" s="68"/>
      <c r="S199" s="68"/>
      <c r="T199" s="68"/>
      <c r="U199" s="68"/>
      <c r="V199" s="68"/>
      <c r="W199" s="69"/>
      <c r="X199" s="68"/>
      <c r="Y199" s="70"/>
      <c r="Z199" s="68"/>
      <c r="AA199" s="68"/>
      <c r="AB199" s="68"/>
    </row>
    <row r="200" spans="1:28" ht="16.899999999999999" customHeight="1" x14ac:dyDescent="0.25">
      <c r="A200" s="66"/>
      <c r="B200" s="77"/>
      <c r="C200" s="63"/>
      <c r="D200" s="67"/>
      <c r="E200" s="100"/>
      <c r="F200" s="61"/>
      <c r="G200" s="61"/>
      <c r="H200" s="61"/>
      <c r="I200" s="61"/>
      <c r="J200" s="62"/>
      <c r="K200" s="61"/>
      <c r="L200" s="61"/>
      <c r="M200" s="62"/>
      <c r="N200" s="104"/>
      <c r="O200" s="61"/>
      <c r="P200" s="62"/>
      <c r="Q200" s="73"/>
      <c r="R200" s="68"/>
      <c r="S200" s="68"/>
      <c r="T200" s="68"/>
      <c r="U200" s="68"/>
      <c r="V200" s="68"/>
      <c r="W200" s="69"/>
      <c r="X200" s="68"/>
      <c r="Y200" s="70"/>
      <c r="Z200" s="68"/>
      <c r="AA200" s="68"/>
      <c r="AB200" s="68"/>
    </row>
    <row r="201" spans="1:28" ht="16.899999999999999" customHeight="1" x14ac:dyDescent="0.25">
      <c r="A201" s="66"/>
      <c r="B201" s="77"/>
      <c r="C201" s="63"/>
      <c r="D201" s="67"/>
      <c r="E201" s="100"/>
      <c r="F201" s="61"/>
      <c r="G201" s="61"/>
      <c r="H201" s="61"/>
      <c r="I201" s="61"/>
      <c r="J201" s="62"/>
      <c r="K201" s="61"/>
      <c r="L201" s="61"/>
      <c r="M201" s="62"/>
      <c r="N201" s="104"/>
      <c r="O201" s="61"/>
      <c r="P201" s="62"/>
      <c r="Q201" s="73"/>
      <c r="R201" s="68"/>
      <c r="S201" s="68"/>
      <c r="T201" s="68"/>
      <c r="U201" s="68"/>
      <c r="V201" s="68"/>
      <c r="W201" s="69"/>
      <c r="X201" s="68"/>
      <c r="Y201" s="70"/>
      <c r="Z201" s="68"/>
      <c r="AA201" s="68"/>
      <c r="AB201" s="68"/>
    </row>
    <row r="202" spans="1:28" ht="16.899999999999999" customHeight="1" x14ac:dyDescent="0.25">
      <c r="A202" s="66"/>
      <c r="B202" s="77"/>
      <c r="C202" s="63"/>
      <c r="D202" s="67"/>
      <c r="E202" s="100"/>
      <c r="F202" s="61"/>
      <c r="G202" s="61"/>
      <c r="H202" s="61"/>
      <c r="I202" s="61"/>
      <c r="J202" s="62"/>
      <c r="K202" s="61"/>
      <c r="L202" s="61"/>
      <c r="M202" s="62"/>
      <c r="N202" s="104"/>
      <c r="O202" s="61"/>
      <c r="P202" s="62"/>
      <c r="Q202" s="73"/>
      <c r="R202" s="68"/>
      <c r="S202" s="68"/>
      <c r="T202" s="68"/>
      <c r="U202" s="68"/>
      <c r="V202" s="68"/>
      <c r="W202" s="69"/>
      <c r="X202" s="68"/>
      <c r="Y202" s="70"/>
      <c r="Z202" s="68"/>
      <c r="AA202" s="68"/>
      <c r="AB202" s="68"/>
    </row>
    <row r="203" spans="1:28" ht="16.899999999999999" customHeight="1" x14ac:dyDescent="0.25">
      <c r="A203" s="66"/>
      <c r="B203" s="77"/>
      <c r="C203" s="63"/>
      <c r="D203" s="67"/>
      <c r="E203" s="100"/>
      <c r="F203" s="61"/>
      <c r="G203" s="61"/>
      <c r="H203" s="61"/>
      <c r="I203" s="61"/>
      <c r="J203" s="62"/>
      <c r="K203" s="61"/>
      <c r="L203" s="61"/>
      <c r="M203" s="62"/>
      <c r="N203" s="104"/>
      <c r="O203" s="61"/>
      <c r="P203" s="62"/>
      <c r="Q203" s="73"/>
      <c r="R203" s="68"/>
      <c r="S203" s="68"/>
      <c r="T203" s="68"/>
      <c r="U203" s="68"/>
      <c r="V203" s="68"/>
      <c r="W203" s="69"/>
      <c r="X203" s="68"/>
      <c r="Y203" s="70"/>
      <c r="Z203" s="68"/>
      <c r="AA203" s="68"/>
      <c r="AB203" s="68"/>
    </row>
    <row r="204" spans="1:28" ht="16.899999999999999" customHeight="1" x14ac:dyDescent="0.25">
      <c r="A204" s="66"/>
      <c r="B204" s="77"/>
      <c r="C204" s="63"/>
      <c r="D204" s="67"/>
      <c r="E204" s="100"/>
      <c r="F204" s="61"/>
      <c r="G204" s="61"/>
      <c r="H204" s="61"/>
      <c r="I204" s="61"/>
      <c r="J204" s="62"/>
      <c r="K204" s="61"/>
      <c r="L204" s="61"/>
      <c r="M204" s="62"/>
      <c r="N204" s="104"/>
      <c r="O204" s="61"/>
      <c r="P204" s="62"/>
      <c r="Q204" s="73"/>
      <c r="R204" s="68"/>
      <c r="S204" s="68"/>
      <c r="T204" s="68"/>
      <c r="U204" s="68"/>
      <c r="V204" s="68"/>
      <c r="W204" s="69"/>
      <c r="X204" s="68"/>
      <c r="Y204" s="70"/>
      <c r="Z204" s="68"/>
      <c r="AA204" s="68"/>
      <c r="AB204" s="68"/>
    </row>
    <row r="205" spans="1:28" ht="16.899999999999999" customHeight="1" x14ac:dyDescent="0.25">
      <c r="A205" s="66"/>
      <c r="B205" s="77"/>
      <c r="C205" s="63"/>
      <c r="D205" s="67"/>
      <c r="E205" s="100"/>
      <c r="F205" s="61"/>
      <c r="G205" s="61"/>
      <c r="H205" s="61"/>
      <c r="I205" s="61"/>
      <c r="J205" s="62"/>
      <c r="K205" s="61"/>
      <c r="L205" s="61"/>
      <c r="M205" s="62"/>
      <c r="N205" s="104"/>
      <c r="O205" s="61"/>
      <c r="P205" s="62"/>
      <c r="Q205" s="73"/>
      <c r="R205" s="68"/>
      <c r="S205" s="68"/>
      <c r="T205" s="68"/>
      <c r="U205" s="68"/>
      <c r="V205" s="68"/>
      <c r="W205" s="69"/>
      <c r="X205" s="68"/>
      <c r="Y205" s="70"/>
      <c r="Z205" s="68"/>
      <c r="AA205" s="68"/>
      <c r="AB205" s="68"/>
    </row>
    <row r="206" spans="1:28" ht="16.899999999999999" customHeight="1" x14ac:dyDescent="0.25">
      <c r="A206" s="66"/>
      <c r="B206" s="77"/>
      <c r="C206" s="63"/>
      <c r="D206" s="67"/>
      <c r="E206" s="100"/>
      <c r="F206" s="61"/>
      <c r="G206" s="61"/>
      <c r="H206" s="61"/>
      <c r="I206" s="61"/>
      <c r="J206" s="62"/>
      <c r="K206" s="61"/>
      <c r="L206" s="61"/>
      <c r="M206" s="62"/>
      <c r="N206" s="104"/>
      <c r="O206" s="61"/>
      <c r="P206" s="62"/>
      <c r="Q206" s="73"/>
      <c r="R206" s="68"/>
      <c r="S206" s="68"/>
      <c r="T206" s="68"/>
      <c r="U206" s="68"/>
      <c r="V206" s="68"/>
      <c r="W206" s="69"/>
      <c r="X206" s="68"/>
      <c r="Y206" s="70"/>
      <c r="Z206" s="68"/>
      <c r="AA206" s="68"/>
      <c r="AB206" s="68"/>
    </row>
    <row r="207" spans="1:28" ht="16.899999999999999" customHeight="1" x14ac:dyDescent="0.25">
      <c r="A207" s="66"/>
      <c r="B207" s="77"/>
      <c r="C207" s="63"/>
      <c r="D207" s="67"/>
      <c r="E207" s="100"/>
      <c r="F207" s="61"/>
      <c r="G207" s="61"/>
      <c r="H207" s="61"/>
      <c r="I207" s="61"/>
      <c r="J207" s="62"/>
      <c r="K207" s="61"/>
      <c r="L207" s="61"/>
      <c r="M207" s="62"/>
      <c r="N207" s="104"/>
      <c r="O207" s="61"/>
      <c r="P207" s="62"/>
      <c r="Q207" s="73"/>
      <c r="R207" s="68"/>
      <c r="S207" s="68"/>
      <c r="T207" s="68"/>
      <c r="U207" s="68"/>
      <c r="V207" s="68"/>
      <c r="W207" s="69"/>
      <c r="X207" s="68"/>
      <c r="Y207" s="70"/>
      <c r="Z207" s="68"/>
      <c r="AA207" s="68"/>
      <c r="AB207" s="68"/>
    </row>
    <row r="208" spans="1:28" ht="16.899999999999999" customHeight="1" x14ac:dyDescent="0.25">
      <c r="A208" s="66"/>
      <c r="B208" s="77"/>
      <c r="C208" s="63"/>
      <c r="D208" s="67"/>
      <c r="E208" s="100"/>
      <c r="F208" s="61"/>
      <c r="G208" s="61"/>
      <c r="H208" s="61"/>
      <c r="I208" s="61"/>
      <c r="J208" s="62"/>
      <c r="K208" s="61"/>
      <c r="L208" s="61"/>
      <c r="M208" s="62"/>
      <c r="N208" s="104"/>
      <c r="O208" s="61"/>
      <c r="P208" s="62"/>
      <c r="Q208" s="73"/>
      <c r="R208" s="68"/>
      <c r="S208" s="68"/>
      <c r="T208" s="68"/>
      <c r="U208" s="68"/>
      <c r="V208" s="68"/>
      <c r="W208" s="69"/>
      <c r="X208" s="68"/>
      <c r="Y208" s="70"/>
      <c r="Z208" s="68"/>
      <c r="AA208" s="68"/>
      <c r="AB208" s="68"/>
    </row>
    <row r="209" spans="1:28" ht="16.899999999999999" customHeight="1" x14ac:dyDescent="0.25">
      <c r="A209" s="66"/>
      <c r="B209" s="77"/>
      <c r="C209" s="63"/>
      <c r="D209" s="67"/>
      <c r="E209" s="100"/>
      <c r="F209" s="61"/>
      <c r="G209" s="61"/>
      <c r="H209" s="61"/>
      <c r="I209" s="61"/>
      <c r="J209" s="62"/>
      <c r="K209" s="61"/>
      <c r="L209" s="61"/>
      <c r="M209" s="62"/>
      <c r="N209" s="104"/>
      <c r="O209" s="61"/>
      <c r="P209" s="62"/>
      <c r="Q209" s="73"/>
      <c r="R209" s="68"/>
      <c r="S209" s="68"/>
      <c r="T209" s="68"/>
      <c r="U209" s="68"/>
      <c r="V209" s="68"/>
      <c r="W209" s="69"/>
      <c r="X209" s="68"/>
      <c r="Y209" s="70"/>
      <c r="Z209" s="68"/>
      <c r="AA209" s="68"/>
      <c r="AB209" s="68"/>
    </row>
    <row r="210" spans="1:28" ht="16.899999999999999" customHeight="1" x14ac:dyDescent="0.25">
      <c r="A210" s="66"/>
      <c r="B210" s="77"/>
      <c r="C210" s="63"/>
      <c r="D210" s="67"/>
      <c r="E210" s="100"/>
      <c r="F210" s="61"/>
      <c r="G210" s="61"/>
      <c r="H210" s="61"/>
      <c r="I210" s="61"/>
      <c r="J210" s="62"/>
      <c r="K210" s="61"/>
      <c r="L210" s="61"/>
      <c r="M210" s="62"/>
      <c r="N210" s="104"/>
      <c r="O210" s="61"/>
      <c r="P210" s="62"/>
      <c r="Q210" s="73"/>
      <c r="R210" s="68"/>
      <c r="S210" s="68"/>
      <c r="T210" s="68"/>
      <c r="U210" s="68"/>
      <c r="V210" s="68"/>
      <c r="W210" s="69"/>
      <c r="X210" s="68"/>
      <c r="Y210" s="70"/>
      <c r="Z210" s="68"/>
      <c r="AA210" s="68"/>
      <c r="AB210" s="68"/>
    </row>
    <row r="211" spans="1:28" ht="16.899999999999999" customHeight="1" x14ac:dyDescent="0.25">
      <c r="A211" s="66"/>
      <c r="B211" s="77"/>
      <c r="C211" s="63"/>
      <c r="D211" s="67"/>
      <c r="E211" s="100"/>
      <c r="F211" s="61"/>
      <c r="G211" s="61"/>
      <c r="H211" s="61"/>
      <c r="I211" s="61"/>
      <c r="J211" s="62"/>
      <c r="K211" s="61"/>
      <c r="L211" s="61"/>
      <c r="M211" s="62"/>
      <c r="N211" s="104"/>
      <c r="O211" s="61"/>
      <c r="P211" s="62"/>
      <c r="Q211" s="73"/>
      <c r="R211" s="68"/>
      <c r="S211" s="68"/>
      <c r="T211" s="68"/>
      <c r="U211" s="68"/>
      <c r="V211" s="68"/>
      <c r="W211" s="69"/>
      <c r="X211" s="68"/>
      <c r="Y211" s="70"/>
      <c r="Z211" s="68"/>
      <c r="AA211" s="68"/>
      <c r="AB211" s="68"/>
    </row>
    <row r="212" spans="1:28" ht="16.899999999999999" customHeight="1" x14ac:dyDescent="0.25">
      <c r="A212" s="66"/>
      <c r="B212" s="77"/>
      <c r="C212" s="63"/>
      <c r="D212" s="67"/>
      <c r="E212" s="100"/>
      <c r="F212" s="61"/>
      <c r="G212" s="61"/>
      <c r="H212" s="61"/>
      <c r="I212" s="61"/>
      <c r="J212" s="62"/>
      <c r="K212" s="61"/>
      <c r="L212" s="61"/>
      <c r="M212" s="62"/>
      <c r="N212" s="104"/>
      <c r="O212" s="61"/>
      <c r="P212" s="62"/>
      <c r="Q212" s="73"/>
      <c r="R212" s="68"/>
      <c r="S212" s="68"/>
      <c r="T212" s="68"/>
      <c r="U212" s="68"/>
      <c r="V212" s="68"/>
      <c r="W212" s="69"/>
      <c r="X212" s="68"/>
      <c r="Y212" s="70"/>
      <c r="Z212" s="68"/>
      <c r="AA212" s="68"/>
      <c r="AB212" s="68"/>
    </row>
    <row r="213" spans="1:28" ht="16.899999999999999" customHeight="1" x14ac:dyDescent="0.25">
      <c r="A213" s="66"/>
      <c r="B213" s="77"/>
      <c r="C213" s="63"/>
      <c r="D213" s="67"/>
      <c r="E213" s="100"/>
      <c r="F213" s="61"/>
      <c r="G213" s="61"/>
      <c r="H213" s="61"/>
      <c r="I213" s="61"/>
      <c r="J213" s="62"/>
      <c r="K213" s="61"/>
      <c r="L213" s="61"/>
      <c r="M213" s="62"/>
      <c r="N213" s="104"/>
      <c r="O213" s="61"/>
      <c r="P213" s="62"/>
      <c r="Q213" s="73"/>
      <c r="R213" s="68"/>
      <c r="S213" s="68"/>
      <c r="T213" s="68"/>
      <c r="U213" s="68"/>
      <c r="V213" s="68"/>
      <c r="W213" s="69"/>
      <c r="X213" s="68"/>
      <c r="Y213" s="70"/>
      <c r="Z213" s="68"/>
      <c r="AA213" s="68"/>
      <c r="AB213" s="68"/>
    </row>
    <row r="214" spans="1:28" ht="16.899999999999999" customHeight="1" x14ac:dyDescent="0.25">
      <c r="A214" s="66"/>
      <c r="B214" s="77"/>
      <c r="C214" s="63"/>
      <c r="D214" s="67"/>
      <c r="E214" s="100"/>
      <c r="F214" s="61"/>
      <c r="G214" s="61"/>
      <c r="H214" s="61"/>
      <c r="I214" s="61"/>
      <c r="J214" s="62"/>
      <c r="K214" s="61"/>
      <c r="L214" s="61"/>
      <c r="M214" s="62"/>
      <c r="N214" s="104"/>
      <c r="O214" s="61"/>
      <c r="P214" s="62"/>
      <c r="Q214" s="73"/>
      <c r="R214" s="68"/>
      <c r="S214" s="68"/>
      <c r="T214" s="68"/>
      <c r="U214" s="68"/>
      <c r="V214" s="68"/>
      <c r="W214" s="69"/>
      <c r="X214" s="68"/>
      <c r="Y214" s="70"/>
      <c r="Z214" s="68"/>
      <c r="AA214" s="68"/>
      <c r="AB214" s="68"/>
    </row>
    <row r="215" spans="1:28" ht="16.899999999999999" customHeight="1" x14ac:dyDescent="0.25">
      <c r="A215" s="66"/>
      <c r="B215" s="77"/>
      <c r="C215" s="63"/>
      <c r="D215" s="67"/>
      <c r="E215" s="100"/>
      <c r="F215" s="61"/>
      <c r="G215" s="61"/>
      <c r="H215" s="61"/>
      <c r="I215" s="61"/>
      <c r="J215" s="62"/>
      <c r="K215" s="61"/>
      <c r="L215" s="61"/>
      <c r="M215" s="62"/>
      <c r="N215" s="104"/>
      <c r="O215" s="61"/>
      <c r="P215" s="62"/>
      <c r="Q215" s="73"/>
      <c r="R215" s="68"/>
      <c r="S215" s="68"/>
      <c r="T215" s="68"/>
      <c r="U215" s="68"/>
      <c r="V215" s="68"/>
      <c r="W215" s="69"/>
      <c r="X215" s="68"/>
      <c r="Y215" s="70"/>
      <c r="Z215" s="68"/>
      <c r="AA215" s="68"/>
      <c r="AB215" s="68"/>
    </row>
    <row r="216" spans="1:28" ht="16.899999999999999" customHeight="1" x14ac:dyDescent="0.25">
      <c r="A216" s="66"/>
      <c r="B216" s="77"/>
      <c r="C216" s="63"/>
      <c r="D216" s="67"/>
      <c r="E216" s="100"/>
      <c r="F216" s="61"/>
      <c r="G216" s="61"/>
      <c r="H216" s="61"/>
      <c r="I216" s="61"/>
      <c r="J216" s="62"/>
      <c r="K216" s="61"/>
      <c r="L216" s="61"/>
      <c r="M216" s="62"/>
      <c r="N216" s="104"/>
      <c r="O216" s="61"/>
      <c r="P216" s="62"/>
      <c r="Q216" s="73"/>
      <c r="R216" s="68"/>
      <c r="S216" s="68"/>
      <c r="T216" s="68"/>
      <c r="U216" s="68"/>
      <c r="V216" s="68"/>
      <c r="W216" s="69"/>
      <c r="X216" s="68"/>
      <c r="Y216" s="70"/>
      <c r="Z216" s="68"/>
      <c r="AA216" s="68"/>
      <c r="AB216" s="68"/>
    </row>
    <row r="217" spans="1:28" ht="16.899999999999999" customHeight="1" x14ac:dyDescent="0.25">
      <c r="A217" s="66"/>
      <c r="B217" s="77"/>
      <c r="C217" s="63"/>
      <c r="D217" s="67"/>
      <c r="E217" s="100"/>
      <c r="F217" s="61"/>
      <c r="G217" s="61"/>
      <c r="H217" s="61"/>
      <c r="I217" s="61"/>
      <c r="J217" s="62"/>
      <c r="K217" s="61"/>
      <c r="L217" s="61"/>
      <c r="M217" s="62"/>
      <c r="N217" s="104"/>
      <c r="O217" s="61"/>
      <c r="P217" s="62"/>
      <c r="Q217" s="73"/>
      <c r="R217" s="68"/>
      <c r="S217" s="68"/>
      <c r="T217" s="68"/>
      <c r="U217" s="68"/>
      <c r="V217" s="68"/>
      <c r="W217" s="69"/>
      <c r="X217" s="68"/>
      <c r="Y217" s="70"/>
      <c r="Z217" s="68"/>
      <c r="AA217" s="68"/>
      <c r="AB217" s="68"/>
    </row>
    <row r="218" spans="1:28" ht="16.899999999999999" customHeight="1" x14ac:dyDescent="0.25">
      <c r="A218" s="66"/>
      <c r="B218" s="77"/>
      <c r="C218" s="63"/>
      <c r="D218" s="67"/>
      <c r="E218" s="100"/>
      <c r="F218" s="61"/>
      <c r="G218" s="61"/>
      <c r="H218" s="61"/>
      <c r="I218" s="61"/>
      <c r="J218" s="62"/>
      <c r="K218" s="61"/>
      <c r="L218" s="61"/>
      <c r="M218" s="62"/>
      <c r="N218" s="104"/>
      <c r="O218" s="61"/>
      <c r="P218" s="62"/>
      <c r="Q218" s="73"/>
      <c r="R218" s="68"/>
      <c r="S218" s="68"/>
      <c r="T218" s="68"/>
      <c r="U218" s="68"/>
      <c r="V218" s="68"/>
      <c r="W218" s="69"/>
      <c r="X218" s="68"/>
      <c r="Y218" s="70"/>
      <c r="Z218" s="68"/>
      <c r="AA218" s="68"/>
      <c r="AB218" s="68"/>
    </row>
    <row r="219" spans="1:28" ht="16.899999999999999" customHeight="1" x14ac:dyDescent="0.25">
      <c r="A219" s="66"/>
      <c r="B219" s="77"/>
      <c r="C219" s="63"/>
      <c r="D219" s="67"/>
      <c r="E219" s="100"/>
      <c r="F219" s="61"/>
      <c r="G219" s="61"/>
      <c r="H219" s="61"/>
      <c r="I219" s="61"/>
      <c r="J219" s="62"/>
      <c r="K219" s="61"/>
      <c r="L219" s="61"/>
      <c r="M219" s="62"/>
      <c r="N219" s="104"/>
      <c r="O219" s="61"/>
      <c r="P219" s="62"/>
      <c r="Q219" s="73"/>
      <c r="R219" s="68"/>
      <c r="S219" s="68"/>
      <c r="T219" s="68"/>
      <c r="U219" s="68"/>
      <c r="V219" s="68"/>
      <c r="W219" s="69"/>
      <c r="X219" s="68"/>
      <c r="Y219" s="70"/>
      <c r="Z219" s="68"/>
      <c r="AA219" s="68"/>
      <c r="AB219" s="68"/>
    </row>
    <row r="220" spans="1:28" ht="16.899999999999999" customHeight="1" x14ac:dyDescent="0.25">
      <c r="A220" s="66"/>
      <c r="B220" s="77"/>
      <c r="C220" s="63"/>
      <c r="D220" s="67"/>
      <c r="E220" s="100"/>
      <c r="F220" s="61"/>
      <c r="G220" s="61"/>
      <c r="H220" s="61"/>
      <c r="I220" s="61"/>
      <c r="J220" s="62"/>
      <c r="K220" s="61"/>
      <c r="L220" s="61"/>
      <c r="M220" s="62"/>
      <c r="N220" s="104"/>
      <c r="O220" s="61"/>
      <c r="P220" s="62"/>
      <c r="Q220" s="73"/>
      <c r="R220" s="68"/>
      <c r="S220" s="68"/>
      <c r="T220" s="68"/>
      <c r="U220" s="68"/>
      <c r="V220" s="68"/>
      <c r="W220" s="69"/>
      <c r="X220" s="68"/>
      <c r="Y220" s="70"/>
      <c r="Z220" s="68"/>
      <c r="AA220" s="68"/>
      <c r="AB220" s="68"/>
    </row>
    <row r="221" spans="1:28" ht="16.899999999999999" customHeight="1" x14ac:dyDescent="0.25">
      <c r="A221" s="66"/>
      <c r="B221" s="77"/>
      <c r="C221" s="63"/>
      <c r="D221" s="67"/>
      <c r="E221" s="100"/>
      <c r="F221" s="61"/>
      <c r="G221" s="61"/>
      <c r="H221" s="61"/>
      <c r="I221" s="61"/>
      <c r="J221" s="62"/>
      <c r="K221" s="61"/>
      <c r="L221" s="61"/>
      <c r="M221" s="62"/>
      <c r="N221" s="104"/>
      <c r="O221" s="61"/>
      <c r="P221" s="62"/>
      <c r="Q221" s="73"/>
      <c r="R221" s="68"/>
      <c r="S221" s="68"/>
      <c r="T221" s="68"/>
      <c r="U221" s="68"/>
      <c r="V221" s="68"/>
      <c r="W221" s="69"/>
      <c r="X221" s="68"/>
      <c r="Y221" s="70"/>
      <c r="Z221" s="68"/>
      <c r="AA221" s="68"/>
      <c r="AB221" s="68"/>
    </row>
    <row r="222" spans="1:28" ht="16.899999999999999" customHeight="1" x14ac:dyDescent="0.25">
      <c r="A222" s="66"/>
      <c r="B222" s="77"/>
      <c r="C222" s="63"/>
      <c r="D222" s="67"/>
      <c r="E222" s="100"/>
      <c r="F222" s="61"/>
      <c r="G222" s="61"/>
      <c r="H222" s="61"/>
      <c r="I222" s="61"/>
      <c r="J222" s="62"/>
      <c r="K222" s="61"/>
      <c r="L222" s="61"/>
      <c r="M222" s="62"/>
      <c r="N222" s="104"/>
      <c r="O222" s="61"/>
      <c r="P222" s="62"/>
      <c r="Q222" s="73"/>
      <c r="R222" s="68"/>
      <c r="S222" s="68"/>
      <c r="T222" s="68"/>
      <c r="U222" s="68"/>
      <c r="V222" s="68"/>
      <c r="W222" s="69"/>
      <c r="X222" s="68"/>
      <c r="Y222" s="70"/>
      <c r="Z222" s="68"/>
      <c r="AA222" s="68"/>
      <c r="AB222" s="68"/>
    </row>
    <row r="223" spans="1:28" ht="16.899999999999999" customHeight="1" x14ac:dyDescent="0.25">
      <c r="A223" s="66"/>
      <c r="B223" s="77"/>
      <c r="C223" s="63"/>
      <c r="D223" s="67"/>
      <c r="E223" s="100"/>
      <c r="F223" s="61"/>
      <c r="G223" s="61"/>
      <c r="H223" s="61"/>
      <c r="I223" s="61"/>
      <c r="J223" s="62"/>
      <c r="K223" s="61"/>
      <c r="L223" s="61"/>
      <c r="M223" s="62"/>
      <c r="N223" s="104"/>
      <c r="O223" s="61"/>
      <c r="P223" s="62"/>
      <c r="Q223" s="73"/>
      <c r="R223" s="68"/>
      <c r="S223" s="68"/>
      <c r="T223" s="68"/>
      <c r="U223" s="68"/>
      <c r="V223" s="68"/>
      <c r="W223" s="69"/>
      <c r="X223" s="68"/>
      <c r="Y223" s="70"/>
      <c r="Z223" s="68"/>
      <c r="AA223" s="68"/>
      <c r="AB223" s="68"/>
    </row>
    <row r="224" spans="1:28" ht="16.899999999999999" customHeight="1" x14ac:dyDescent="0.25">
      <c r="A224" s="66"/>
      <c r="B224" s="77"/>
      <c r="C224" s="63"/>
      <c r="D224" s="67"/>
      <c r="E224" s="100"/>
      <c r="F224" s="61"/>
      <c r="G224" s="61"/>
      <c r="H224" s="61"/>
      <c r="I224" s="61"/>
      <c r="J224" s="62"/>
      <c r="K224" s="61"/>
      <c r="L224" s="61"/>
      <c r="M224" s="62"/>
      <c r="N224" s="104"/>
      <c r="O224" s="61"/>
      <c r="P224" s="62"/>
      <c r="Q224" s="73"/>
      <c r="R224" s="68"/>
      <c r="S224" s="68"/>
      <c r="T224" s="68"/>
      <c r="U224" s="68"/>
      <c r="V224" s="68"/>
      <c r="W224" s="69"/>
      <c r="X224" s="68"/>
      <c r="Y224" s="70"/>
      <c r="Z224" s="68"/>
      <c r="AA224" s="68"/>
      <c r="AB224" s="68"/>
    </row>
    <row r="225" spans="1:28" ht="16.899999999999999" customHeight="1" x14ac:dyDescent="0.25">
      <c r="A225" s="66"/>
      <c r="B225" s="77"/>
      <c r="C225" s="63"/>
      <c r="D225" s="67"/>
      <c r="E225" s="100"/>
      <c r="F225" s="61"/>
      <c r="G225" s="61"/>
      <c r="H225" s="61"/>
      <c r="I225" s="61"/>
      <c r="J225" s="62"/>
      <c r="K225" s="61"/>
      <c r="L225" s="61"/>
      <c r="M225" s="62"/>
      <c r="N225" s="104"/>
      <c r="O225" s="61"/>
      <c r="P225" s="62"/>
      <c r="Q225" s="73"/>
      <c r="R225" s="68"/>
      <c r="S225" s="68"/>
      <c r="T225" s="68"/>
      <c r="U225" s="68"/>
      <c r="V225" s="68"/>
      <c r="W225" s="69"/>
      <c r="X225" s="68"/>
      <c r="Y225" s="70"/>
      <c r="Z225" s="68"/>
      <c r="AA225" s="68"/>
      <c r="AB225" s="68"/>
    </row>
    <row r="226" spans="1:28" ht="16.899999999999999" customHeight="1" x14ac:dyDescent="0.25">
      <c r="A226" s="66"/>
      <c r="B226" s="77"/>
      <c r="C226" s="63"/>
      <c r="D226" s="67"/>
      <c r="E226" s="100"/>
      <c r="F226" s="61"/>
      <c r="G226" s="61"/>
      <c r="H226" s="61"/>
      <c r="I226" s="61"/>
      <c r="J226" s="62"/>
      <c r="K226" s="61"/>
      <c r="L226" s="61"/>
      <c r="M226" s="62"/>
      <c r="N226" s="104"/>
      <c r="O226" s="61"/>
      <c r="P226" s="62"/>
      <c r="Q226" s="73"/>
      <c r="R226" s="68"/>
      <c r="S226" s="68"/>
      <c r="T226" s="68"/>
      <c r="U226" s="68"/>
      <c r="V226" s="68"/>
      <c r="W226" s="69"/>
      <c r="X226" s="68"/>
      <c r="Y226" s="70"/>
      <c r="Z226" s="68"/>
      <c r="AA226" s="68"/>
      <c r="AB226" s="68"/>
    </row>
    <row r="227" spans="1:28" ht="16.899999999999999" customHeight="1" x14ac:dyDescent="0.25">
      <c r="A227" s="66"/>
      <c r="B227" s="77"/>
      <c r="C227" s="63"/>
      <c r="D227" s="67"/>
      <c r="E227" s="100"/>
      <c r="F227" s="61"/>
      <c r="G227" s="61"/>
      <c r="H227" s="61"/>
      <c r="I227" s="61"/>
      <c r="J227" s="62"/>
      <c r="K227" s="61"/>
      <c r="L227" s="61"/>
      <c r="M227" s="62"/>
      <c r="N227" s="104"/>
      <c r="O227" s="61"/>
      <c r="P227" s="62"/>
      <c r="Q227" s="73"/>
      <c r="R227" s="68"/>
      <c r="S227" s="68"/>
      <c r="T227" s="68"/>
      <c r="U227" s="68"/>
      <c r="V227" s="68"/>
      <c r="W227" s="69"/>
      <c r="X227" s="68"/>
      <c r="Y227" s="70"/>
      <c r="Z227" s="68"/>
      <c r="AA227" s="68"/>
      <c r="AB227" s="68"/>
    </row>
    <row r="228" spans="1:28" ht="16.899999999999999" customHeight="1" x14ac:dyDescent="0.25">
      <c r="A228" s="66"/>
      <c r="B228" s="77"/>
      <c r="C228" s="63"/>
      <c r="D228" s="67"/>
      <c r="E228" s="100"/>
      <c r="F228" s="61"/>
      <c r="G228" s="61"/>
      <c r="H228" s="61"/>
      <c r="I228" s="61"/>
      <c r="J228" s="62"/>
      <c r="K228" s="61"/>
      <c r="L228" s="61"/>
      <c r="M228" s="62"/>
      <c r="N228" s="104"/>
      <c r="O228" s="61"/>
      <c r="P228" s="62"/>
      <c r="Q228" s="73"/>
      <c r="R228" s="68"/>
      <c r="S228" s="68"/>
      <c r="T228" s="68"/>
      <c r="U228" s="68"/>
      <c r="V228" s="68"/>
      <c r="W228" s="69"/>
      <c r="X228" s="68"/>
      <c r="Y228" s="70"/>
      <c r="Z228" s="68"/>
      <c r="AA228" s="68"/>
      <c r="AB228" s="68"/>
    </row>
    <row r="229" spans="1:28" ht="16.899999999999999" customHeight="1" x14ac:dyDescent="0.25">
      <c r="A229" s="66"/>
      <c r="B229" s="77"/>
      <c r="C229" s="63"/>
      <c r="D229" s="67"/>
      <c r="E229" s="100"/>
      <c r="F229" s="61"/>
      <c r="G229" s="61"/>
      <c r="H229" s="61"/>
      <c r="I229" s="61"/>
      <c r="J229" s="62"/>
      <c r="K229" s="61"/>
      <c r="L229" s="61"/>
      <c r="M229" s="62"/>
      <c r="N229" s="104"/>
      <c r="O229" s="61"/>
      <c r="P229" s="62"/>
      <c r="Q229" s="73"/>
      <c r="R229" s="68"/>
      <c r="S229" s="68"/>
      <c r="T229" s="68"/>
      <c r="U229" s="68"/>
      <c r="V229" s="68"/>
      <c r="W229" s="69"/>
      <c r="X229" s="68"/>
      <c r="Y229" s="70"/>
      <c r="Z229" s="68"/>
      <c r="AA229" s="68"/>
      <c r="AB229" s="68"/>
    </row>
    <row r="230" spans="1:28" ht="16.899999999999999" customHeight="1" x14ac:dyDescent="0.25">
      <c r="A230" s="66"/>
      <c r="B230" s="77"/>
      <c r="C230" s="63"/>
      <c r="D230" s="67"/>
      <c r="E230" s="100"/>
      <c r="F230" s="61"/>
      <c r="G230" s="61"/>
      <c r="H230" s="61"/>
      <c r="I230" s="61"/>
      <c r="J230" s="62"/>
      <c r="K230" s="61"/>
      <c r="L230" s="61"/>
      <c r="M230" s="62"/>
      <c r="N230" s="104"/>
      <c r="O230" s="61"/>
      <c r="P230" s="62"/>
      <c r="Q230" s="73"/>
      <c r="R230" s="68"/>
      <c r="S230" s="68"/>
      <c r="T230" s="68"/>
      <c r="U230" s="68"/>
      <c r="V230" s="68"/>
      <c r="W230" s="69"/>
      <c r="X230" s="68"/>
      <c r="Y230" s="70"/>
      <c r="Z230" s="68"/>
      <c r="AA230" s="68"/>
      <c r="AB230" s="68"/>
    </row>
    <row r="231" spans="1:28" ht="16.899999999999999" customHeight="1" x14ac:dyDescent="0.25">
      <c r="A231" s="66"/>
      <c r="B231" s="77"/>
      <c r="C231" s="63"/>
      <c r="D231" s="67"/>
      <c r="E231" s="100"/>
      <c r="F231" s="61"/>
      <c r="G231" s="61"/>
      <c r="H231" s="61"/>
      <c r="I231" s="61"/>
      <c r="J231" s="62"/>
      <c r="K231" s="61"/>
      <c r="L231" s="61"/>
      <c r="M231" s="62"/>
      <c r="N231" s="104"/>
      <c r="O231" s="61"/>
      <c r="P231" s="62"/>
      <c r="Q231" s="73"/>
      <c r="R231" s="68"/>
      <c r="S231" s="68"/>
      <c r="T231" s="68"/>
      <c r="U231" s="68"/>
      <c r="V231" s="68"/>
      <c r="W231" s="69"/>
      <c r="X231" s="68"/>
      <c r="Y231" s="70"/>
      <c r="Z231" s="68"/>
      <c r="AA231" s="68"/>
      <c r="AB231" s="68"/>
    </row>
    <row r="232" spans="1:28" ht="16.899999999999999" customHeight="1" x14ac:dyDescent="0.25">
      <c r="A232" s="66"/>
      <c r="B232" s="77"/>
      <c r="C232" s="63"/>
      <c r="D232" s="67"/>
      <c r="E232" s="100"/>
      <c r="F232" s="61"/>
      <c r="G232" s="61"/>
      <c r="H232" s="61"/>
      <c r="I232" s="61"/>
      <c r="J232" s="62"/>
      <c r="K232" s="61"/>
      <c r="L232" s="61"/>
      <c r="M232" s="62"/>
      <c r="N232" s="104"/>
      <c r="O232" s="61"/>
      <c r="P232" s="62"/>
      <c r="Q232" s="73"/>
      <c r="R232" s="68"/>
      <c r="S232" s="68"/>
      <c r="T232" s="68"/>
      <c r="U232" s="68"/>
      <c r="V232" s="68"/>
      <c r="W232" s="69"/>
      <c r="X232" s="68"/>
      <c r="Y232" s="70"/>
      <c r="Z232" s="68"/>
      <c r="AA232" s="68"/>
      <c r="AB232" s="68"/>
    </row>
    <row r="233" spans="1:28" ht="16.899999999999999" customHeight="1" x14ac:dyDescent="0.25">
      <c r="A233" s="66"/>
      <c r="B233" s="77"/>
      <c r="C233" s="63"/>
      <c r="D233" s="67"/>
      <c r="E233" s="100"/>
      <c r="F233" s="61"/>
      <c r="G233" s="61"/>
      <c r="H233" s="61"/>
      <c r="I233" s="61"/>
      <c r="J233" s="62"/>
      <c r="K233" s="61"/>
      <c r="L233" s="61"/>
      <c r="M233" s="62"/>
      <c r="N233" s="104"/>
      <c r="O233" s="61"/>
      <c r="P233" s="62"/>
      <c r="Q233" s="73"/>
      <c r="R233" s="68"/>
      <c r="S233" s="68"/>
      <c r="T233" s="68"/>
      <c r="U233" s="68"/>
      <c r="V233" s="68"/>
      <c r="W233" s="69"/>
      <c r="X233" s="68"/>
      <c r="Y233" s="70"/>
      <c r="Z233" s="68"/>
      <c r="AA233" s="68"/>
      <c r="AB233" s="68"/>
    </row>
    <row r="234" spans="1:28" ht="16.899999999999999" customHeight="1" x14ac:dyDescent="0.25">
      <c r="A234" s="66"/>
      <c r="B234" s="77"/>
      <c r="C234" s="63"/>
      <c r="D234" s="67"/>
      <c r="E234" s="100"/>
      <c r="F234" s="61"/>
      <c r="G234" s="61"/>
      <c r="H234" s="61"/>
      <c r="I234" s="61"/>
      <c r="J234" s="62"/>
      <c r="K234" s="61"/>
      <c r="L234" s="61"/>
      <c r="M234" s="62"/>
      <c r="N234" s="104"/>
      <c r="O234" s="61"/>
      <c r="P234" s="62"/>
      <c r="Q234" s="73"/>
      <c r="R234" s="68"/>
      <c r="S234" s="68"/>
      <c r="T234" s="68"/>
      <c r="U234" s="68"/>
      <c r="V234" s="68"/>
      <c r="W234" s="69"/>
      <c r="X234" s="68"/>
      <c r="Y234" s="70"/>
      <c r="Z234" s="68"/>
      <c r="AA234" s="68"/>
      <c r="AB234" s="68"/>
    </row>
    <row r="235" spans="1:28" ht="16.899999999999999" customHeight="1" x14ac:dyDescent="0.25">
      <c r="A235" s="66"/>
      <c r="B235" s="77"/>
      <c r="C235" s="63"/>
      <c r="D235" s="67"/>
      <c r="E235" s="100"/>
      <c r="F235" s="61"/>
      <c r="G235" s="61"/>
      <c r="H235" s="61"/>
      <c r="I235" s="61"/>
      <c r="J235" s="62"/>
      <c r="K235" s="61"/>
      <c r="L235" s="61"/>
      <c r="M235" s="62"/>
      <c r="N235" s="104"/>
      <c r="O235" s="61"/>
      <c r="P235" s="62"/>
      <c r="Q235" s="73"/>
      <c r="R235" s="68"/>
      <c r="S235" s="68"/>
      <c r="T235" s="68"/>
      <c r="U235" s="68"/>
      <c r="V235" s="68"/>
      <c r="W235" s="69"/>
      <c r="X235" s="68"/>
      <c r="Y235" s="70"/>
      <c r="Z235" s="68"/>
      <c r="AA235" s="68"/>
      <c r="AB235" s="68"/>
    </row>
    <row r="236" spans="1:28" ht="16.899999999999999" customHeight="1" x14ac:dyDescent="0.25">
      <c r="A236" s="66"/>
      <c r="B236" s="77"/>
      <c r="C236" s="63"/>
      <c r="D236" s="67"/>
      <c r="E236" s="100"/>
      <c r="F236" s="61"/>
      <c r="G236" s="61"/>
      <c r="H236" s="61"/>
      <c r="I236" s="61"/>
      <c r="J236" s="62"/>
      <c r="K236" s="61"/>
      <c r="L236" s="61"/>
      <c r="M236" s="62"/>
      <c r="N236" s="104"/>
      <c r="O236" s="61"/>
      <c r="P236" s="62"/>
      <c r="Q236" s="73"/>
      <c r="R236" s="68"/>
      <c r="S236" s="68"/>
      <c r="T236" s="68"/>
      <c r="U236" s="68"/>
      <c r="V236" s="68"/>
      <c r="W236" s="69"/>
      <c r="X236" s="68"/>
      <c r="Y236" s="70"/>
      <c r="Z236" s="68"/>
      <c r="AA236" s="68"/>
      <c r="AB236" s="68"/>
    </row>
    <row r="237" spans="1:28" ht="16.899999999999999" customHeight="1" x14ac:dyDescent="0.25">
      <c r="A237" s="66"/>
      <c r="B237" s="77"/>
      <c r="C237" s="63"/>
      <c r="D237" s="67"/>
      <c r="E237" s="100"/>
      <c r="F237" s="61"/>
      <c r="G237" s="61"/>
      <c r="H237" s="61"/>
      <c r="I237" s="61"/>
      <c r="J237" s="62"/>
      <c r="K237" s="61"/>
      <c r="L237" s="61"/>
      <c r="M237" s="62"/>
      <c r="N237" s="104"/>
      <c r="O237" s="61"/>
      <c r="P237" s="62"/>
      <c r="Q237" s="73"/>
      <c r="R237" s="68"/>
      <c r="S237" s="68"/>
      <c r="T237" s="68"/>
      <c r="U237" s="68"/>
      <c r="V237" s="68"/>
      <c r="W237" s="69"/>
      <c r="X237" s="68"/>
      <c r="Y237" s="70"/>
      <c r="Z237" s="68"/>
      <c r="AA237" s="68"/>
      <c r="AB237" s="68"/>
    </row>
    <row r="238" spans="1:28" ht="16.899999999999999" customHeight="1" x14ac:dyDescent="0.25">
      <c r="A238" s="66"/>
      <c r="B238" s="77"/>
      <c r="C238" s="63"/>
      <c r="D238" s="67"/>
      <c r="E238" s="100"/>
      <c r="F238" s="61"/>
      <c r="G238" s="61"/>
      <c r="H238" s="61"/>
      <c r="I238" s="61"/>
      <c r="J238" s="62"/>
      <c r="K238" s="61"/>
      <c r="L238" s="61"/>
      <c r="M238" s="62"/>
      <c r="N238" s="104"/>
      <c r="O238" s="61"/>
      <c r="P238" s="62"/>
      <c r="Q238" s="73"/>
      <c r="R238" s="68"/>
      <c r="S238" s="68"/>
      <c r="T238" s="68"/>
      <c r="U238" s="68"/>
      <c r="V238" s="68"/>
      <c r="W238" s="69"/>
      <c r="X238" s="68"/>
      <c r="Y238" s="70"/>
      <c r="Z238" s="68"/>
      <c r="AA238" s="68"/>
      <c r="AB238" s="68"/>
    </row>
    <row r="239" spans="1:28" ht="16.899999999999999" customHeight="1" x14ac:dyDescent="0.25">
      <c r="A239" s="66"/>
      <c r="B239" s="77"/>
      <c r="C239" s="63"/>
      <c r="D239" s="67"/>
      <c r="E239" s="100"/>
      <c r="F239" s="61"/>
      <c r="G239" s="61"/>
      <c r="H239" s="61"/>
      <c r="I239" s="61"/>
      <c r="J239" s="62"/>
      <c r="K239" s="61"/>
      <c r="L239" s="61"/>
      <c r="M239" s="62"/>
      <c r="N239" s="104"/>
      <c r="O239" s="61"/>
      <c r="P239" s="62"/>
      <c r="Q239" s="73"/>
      <c r="R239" s="68"/>
      <c r="S239" s="68"/>
      <c r="T239" s="68"/>
      <c r="U239" s="68"/>
      <c r="V239" s="68"/>
      <c r="W239" s="69"/>
      <c r="X239" s="68"/>
      <c r="Y239" s="70"/>
      <c r="Z239" s="68"/>
      <c r="AA239" s="68"/>
      <c r="AB239" s="68"/>
    </row>
    <row r="240" spans="1:28" ht="16.899999999999999" customHeight="1" x14ac:dyDescent="0.25">
      <c r="A240" s="66"/>
      <c r="B240" s="77"/>
      <c r="C240" s="63"/>
      <c r="D240" s="67"/>
      <c r="E240" s="100"/>
      <c r="F240" s="61"/>
      <c r="G240" s="61"/>
      <c r="H240" s="61"/>
      <c r="I240" s="61"/>
      <c r="J240" s="62"/>
      <c r="K240" s="61"/>
      <c r="L240" s="61"/>
      <c r="M240" s="62"/>
      <c r="N240" s="104"/>
      <c r="O240" s="61"/>
      <c r="P240" s="62"/>
      <c r="Q240" s="73"/>
      <c r="R240" s="68"/>
      <c r="S240" s="68"/>
      <c r="T240" s="68"/>
      <c r="U240" s="68"/>
      <c r="V240" s="68"/>
      <c r="W240" s="69"/>
      <c r="X240" s="68"/>
      <c r="Y240" s="70"/>
      <c r="Z240" s="68"/>
      <c r="AA240" s="68"/>
      <c r="AB240" s="68"/>
    </row>
    <row r="241" spans="1:28" ht="16.899999999999999" customHeight="1" x14ac:dyDescent="0.25">
      <c r="A241" s="66"/>
      <c r="B241" s="77"/>
      <c r="C241" s="63"/>
      <c r="D241" s="67"/>
      <c r="E241" s="100"/>
      <c r="F241" s="61"/>
      <c r="G241" s="61"/>
      <c r="H241" s="61"/>
      <c r="I241" s="61"/>
      <c r="J241" s="62"/>
      <c r="K241" s="61"/>
      <c r="L241" s="61"/>
      <c r="M241" s="62"/>
      <c r="N241" s="104"/>
      <c r="O241" s="61"/>
      <c r="P241" s="62"/>
      <c r="Q241" s="73"/>
      <c r="R241" s="68"/>
      <c r="S241" s="68"/>
      <c r="T241" s="68"/>
      <c r="U241" s="68"/>
      <c r="V241" s="68"/>
      <c r="W241" s="69"/>
      <c r="X241" s="68"/>
      <c r="Y241" s="70"/>
      <c r="Z241" s="68"/>
      <c r="AA241" s="68"/>
      <c r="AB241" s="68"/>
    </row>
    <row r="242" spans="1:28" ht="16.899999999999999" customHeight="1" x14ac:dyDescent="0.25">
      <c r="A242" s="66"/>
      <c r="B242" s="77"/>
      <c r="C242" s="63"/>
      <c r="D242" s="67"/>
      <c r="E242" s="100"/>
      <c r="F242" s="61"/>
      <c r="G242" s="61"/>
      <c r="H242" s="61"/>
      <c r="I242" s="61"/>
      <c r="J242" s="62"/>
      <c r="K242" s="61"/>
      <c r="L242" s="61"/>
      <c r="M242" s="62"/>
      <c r="N242" s="104"/>
      <c r="O242" s="61"/>
      <c r="P242" s="62"/>
      <c r="Q242" s="73"/>
      <c r="R242" s="68"/>
      <c r="S242" s="68"/>
      <c r="T242" s="68"/>
      <c r="U242" s="68"/>
      <c r="V242" s="68"/>
      <c r="W242" s="69"/>
      <c r="X242" s="68"/>
      <c r="Y242" s="70"/>
      <c r="Z242" s="68"/>
      <c r="AA242" s="68"/>
      <c r="AB242" s="68"/>
    </row>
    <row r="243" spans="1:28" ht="16.899999999999999" customHeight="1" x14ac:dyDescent="0.25">
      <c r="A243" s="66"/>
      <c r="B243" s="77"/>
      <c r="C243" s="63"/>
      <c r="D243" s="67"/>
      <c r="E243" s="100"/>
      <c r="F243" s="61"/>
      <c r="G243" s="61"/>
      <c r="H243" s="61"/>
      <c r="I243" s="61"/>
      <c r="J243" s="62"/>
      <c r="K243" s="61"/>
      <c r="L243" s="61"/>
      <c r="M243" s="62"/>
      <c r="N243" s="104"/>
      <c r="O243" s="61"/>
      <c r="P243" s="62"/>
      <c r="Q243" s="73"/>
      <c r="R243" s="68"/>
      <c r="S243" s="68"/>
      <c r="T243" s="68"/>
      <c r="U243" s="68"/>
      <c r="V243" s="68"/>
      <c r="W243" s="69"/>
      <c r="X243" s="68"/>
      <c r="Y243" s="70"/>
      <c r="Z243" s="68"/>
      <c r="AA243" s="68"/>
      <c r="AB243" s="68"/>
    </row>
    <row r="244" spans="1:28" ht="16.899999999999999" customHeight="1" x14ac:dyDescent="0.25">
      <c r="A244" s="66"/>
      <c r="B244" s="77"/>
      <c r="C244" s="63"/>
      <c r="D244" s="67"/>
      <c r="E244" s="100"/>
      <c r="F244" s="61"/>
      <c r="G244" s="61"/>
      <c r="H244" s="61"/>
      <c r="I244" s="61"/>
      <c r="J244" s="62"/>
      <c r="K244" s="61"/>
      <c r="L244" s="61"/>
      <c r="M244" s="62"/>
      <c r="N244" s="104"/>
      <c r="O244" s="61"/>
      <c r="P244" s="62"/>
      <c r="Q244" s="73"/>
      <c r="R244" s="68"/>
      <c r="S244" s="68"/>
      <c r="T244" s="68"/>
      <c r="U244" s="68"/>
      <c r="V244" s="68"/>
      <c r="W244" s="69"/>
      <c r="X244" s="68"/>
      <c r="Y244" s="70"/>
      <c r="Z244" s="68"/>
      <c r="AA244" s="68"/>
      <c r="AB244" s="68"/>
    </row>
    <row r="245" spans="1:28" ht="16.899999999999999" customHeight="1" x14ac:dyDescent="0.25">
      <c r="A245" s="66"/>
      <c r="B245" s="77"/>
      <c r="C245" s="63"/>
      <c r="D245" s="67"/>
      <c r="E245" s="100"/>
      <c r="F245" s="61"/>
      <c r="G245" s="61"/>
      <c r="H245" s="61"/>
      <c r="I245" s="61"/>
      <c r="J245" s="62"/>
      <c r="K245" s="61"/>
      <c r="L245" s="61"/>
      <c r="M245" s="62"/>
      <c r="N245" s="104"/>
      <c r="O245" s="61"/>
      <c r="P245" s="62"/>
      <c r="Q245" s="73"/>
      <c r="R245" s="68"/>
      <c r="S245" s="68"/>
      <c r="T245" s="68"/>
      <c r="U245" s="68"/>
      <c r="V245" s="68"/>
      <c r="W245" s="69"/>
      <c r="X245" s="68"/>
      <c r="Y245" s="70"/>
      <c r="Z245" s="68"/>
      <c r="AA245" s="68"/>
      <c r="AB245" s="68"/>
    </row>
    <row r="246" spans="1:28" ht="16.899999999999999" customHeight="1" x14ac:dyDescent="0.25">
      <c r="A246" s="66"/>
      <c r="B246" s="77"/>
      <c r="C246" s="63"/>
      <c r="D246" s="67"/>
      <c r="E246" s="100"/>
      <c r="F246" s="61"/>
      <c r="G246" s="61"/>
      <c r="H246" s="61"/>
      <c r="I246" s="61"/>
      <c r="J246" s="62"/>
      <c r="K246" s="61"/>
      <c r="L246" s="61"/>
      <c r="M246" s="62"/>
      <c r="N246" s="104"/>
      <c r="O246" s="61"/>
      <c r="P246" s="62"/>
      <c r="Q246" s="73"/>
      <c r="R246" s="68"/>
      <c r="S246" s="68"/>
      <c r="T246" s="68"/>
      <c r="U246" s="68"/>
      <c r="V246" s="68"/>
      <c r="W246" s="69"/>
      <c r="X246" s="68"/>
      <c r="Y246" s="70"/>
      <c r="Z246" s="68"/>
      <c r="AA246" s="68"/>
      <c r="AB246" s="68"/>
    </row>
    <row r="247" spans="1:28" ht="16.899999999999999" customHeight="1" x14ac:dyDescent="0.25">
      <c r="A247" s="66"/>
      <c r="B247" s="77"/>
      <c r="C247" s="63"/>
      <c r="D247" s="67"/>
      <c r="E247" s="100"/>
      <c r="F247" s="61"/>
      <c r="G247" s="61"/>
      <c r="H247" s="61"/>
      <c r="I247" s="61"/>
      <c r="J247" s="62"/>
      <c r="K247" s="61"/>
      <c r="L247" s="61"/>
      <c r="M247" s="62"/>
      <c r="N247" s="104"/>
      <c r="O247" s="61"/>
      <c r="P247" s="62"/>
      <c r="Q247" s="73"/>
      <c r="R247" s="68"/>
      <c r="S247" s="68"/>
      <c r="T247" s="68"/>
      <c r="U247" s="68"/>
      <c r="V247" s="68"/>
      <c r="W247" s="69"/>
      <c r="X247" s="68"/>
      <c r="Y247" s="70"/>
      <c r="Z247" s="68"/>
      <c r="AA247" s="68"/>
      <c r="AB247" s="68"/>
    </row>
    <row r="248" spans="1:28" ht="16.899999999999999" customHeight="1" x14ac:dyDescent="0.25">
      <c r="A248" s="66"/>
      <c r="B248" s="77"/>
      <c r="C248" s="63"/>
      <c r="D248" s="67"/>
      <c r="E248" s="100"/>
      <c r="F248" s="61"/>
      <c r="G248" s="61"/>
      <c r="H248" s="61"/>
      <c r="I248" s="61"/>
      <c r="J248" s="62"/>
      <c r="K248" s="61"/>
      <c r="L248" s="61"/>
      <c r="M248" s="62"/>
      <c r="N248" s="104"/>
      <c r="O248" s="61"/>
      <c r="P248" s="62"/>
      <c r="Q248" s="73"/>
      <c r="R248" s="68"/>
      <c r="S248" s="68"/>
      <c r="T248" s="68"/>
      <c r="U248" s="68"/>
      <c r="V248" s="68"/>
      <c r="W248" s="69"/>
      <c r="X248" s="68"/>
      <c r="Y248" s="70"/>
      <c r="Z248" s="68"/>
      <c r="AA248" s="68"/>
      <c r="AB248" s="68"/>
    </row>
    <row r="249" spans="1:28" ht="16.899999999999999" customHeight="1" x14ac:dyDescent="0.25">
      <c r="A249" s="66"/>
      <c r="B249" s="77"/>
      <c r="C249" s="63"/>
      <c r="D249" s="67"/>
      <c r="E249" s="100"/>
      <c r="F249" s="61"/>
      <c r="G249" s="61"/>
      <c r="H249" s="61"/>
      <c r="I249" s="61"/>
      <c r="J249" s="62"/>
      <c r="K249" s="61"/>
      <c r="L249" s="61"/>
      <c r="M249" s="62"/>
      <c r="N249" s="104"/>
      <c r="O249" s="61"/>
      <c r="P249" s="62"/>
      <c r="Q249" s="73"/>
      <c r="R249" s="68"/>
      <c r="S249" s="68"/>
      <c r="T249" s="68"/>
      <c r="U249" s="68"/>
      <c r="V249" s="68"/>
      <c r="W249" s="69"/>
      <c r="X249" s="68"/>
      <c r="Y249" s="70"/>
      <c r="Z249" s="68"/>
      <c r="AA249" s="68"/>
      <c r="AB249" s="68"/>
    </row>
    <row r="250" spans="1:28" ht="16.899999999999999" customHeight="1" x14ac:dyDescent="0.25">
      <c r="A250" s="66"/>
      <c r="B250" s="77"/>
      <c r="C250" s="63"/>
      <c r="D250" s="67"/>
      <c r="E250" s="100"/>
      <c r="F250" s="61"/>
      <c r="G250" s="61"/>
      <c r="H250" s="61"/>
      <c r="I250" s="61"/>
      <c r="J250" s="62"/>
      <c r="K250" s="61"/>
      <c r="L250" s="61"/>
      <c r="M250" s="62"/>
      <c r="N250" s="104"/>
      <c r="O250" s="61"/>
      <c r="P250" s="62"/>
      <c r="Q250" s="73"/>
      <c r="R250" s="68"/>
      <c r="S250" s="68"/>
      <c r="T250" s="68"/>
      <c r="U250" s="68"/>
      <c r="V250" s="68"/>
      <c r="W250" s="69"/>
      <c r="X250" s="68"/>
      <c r="Y250" s="70"/>
      <c r="Z250" s="68"/>
      <c r="AA250" s="68"/>
      <c r="AB250" s="68"/>
    </row>
    <row r="251" spans="1:28" ht="16.899999999999999" customHeight="1" x14ac:dyDescent="0.25">
      <c r="A251" s="66"/>
      <c r="B251" s="77"/>
      <c r="C251" s="63"/>
      <c r="D251" s="67"/>
      <c r="E251" s="100"/>
      <c r="F251" s="61"/>
      <c r="G251" s="61"/>
      <c r="H251" s="61"/>
      <c r="I251" s="61"/>
      <c r="J251" s="62"/>
      <c r="K251" s="61"/>
      <c r="L251" s="61"/>
      <c r="M251" s="62"/>
      <c r="N251" s="104"/>
      <c r="O251" s="61"/>
      <c r="P251" s="62"/>
      <c r="Q251" s="73"/>
      <c r="R251" s="68"/>
      <c r="S251" s="68"/>
      <c r="T251" s="68"/>
      <c r="U251" s="68"/>
      <c r="V251" s="68"/>
      <c r="W251" s="69"/>
      <c r="X251" s="68"/>
      <c r="Y251" s="70"/>
      <c r="Z251" s="68"/>
      <c r="AA251" s="68"/>
      <c r="AB251" s="68"/>
    </row>
    <row r="252" spans="1:28" ht="16.899999999999999" customHeight="1" x14ac:dyDescent="0.25">
      <c r="A252" s="66"/>
      <c r="B252" s="77"/>
      <c r="C252" s="63"/>
      <c r="D252" s="67"/>
      <c r="E252" s="100"/>
      <c r="F252" s="61"/>
      <c r="G252" s="61"/>
      <c r="H252" s="61"/>
      <c r="I252" s="61"/>
      <c r="J252" s="62"/>
      <c r="K252" s="61"/>
      <c r="L252" s="61"/>
      <c r="M252" s="62"/>
      <c r="N252" s="104"/>
      <c r="O252" s="61"/>
      <c r="P252" s="62"/>
      <c r="Q252" s="73"/>
      <c r="R252" s="68"/>
      <c r="S252" s="68"/>
      <c r="T252" s="68"/>
      <c r="U252" s="68"/>
      <c r="V252" s="68"/>
      <c r="W252" s="69"/>
      <c r="X252" s="68"/>
      <c r="Y252" s="70"/>
      <c r="Z252" s="68"/>
      <c r="AA252" s="68"/>
      <c r="AB252" s="68"/>
    </row>
    <row r="253" spans="1:28" ht="16.899999999999999" customHeight="1" x14ac:dyDescent="0.25">
      <c r="A253" s="66"/>
      <c r="B253" s="77"/>
      <c r="C253" s="63"/>
      <c r="D253" s="67"/>
      <c r="E253" s="100"/>
      <c r="F253" s="61"/>
      <c r="G253" s="61"/>
      <c r="H253" s="61"/>
      <c r="I253" s="61"/>
      <c r="J253" s="62"/>
      <c r="K253" s="61"/>
      <c r="L253" s="61"/>
      <c r="M253" s="62"/>
      <c r="N253" s="104"/>
      <c r="O253" s="61"/>
      <c r="P253" s="62"/>
      <c r="Q253" s="73"/>
      <c r="R253" s="68"/>
      <c r="S253" s="68"/>
      <c r="T253" s="68"/>
      <c r="U253" s="68"/>
      <c r="V253" s="68"/>
      <c r="W253" s="69"/>
      <c r="X253" s="68"/>
      <c r="Y253" s="70"/>
      <c r="Z253" s="68"/>
      <c r="AA253" s="68"/>
      <c r="AB253" s="68"/>
    </row>
    <row r="254" spans="1:28" ht="16.899999999999999" customHeight="1" x14ac:dyDescent="0.25">
      <c r="A254" s="66"/>
      <c r="B254" s="77"/>
      <c r="C254" s="63"/>
      <c r="D254" s="67"/>
      <c r="E254" s="100"/>
      <c r="F254" s="61"/>
      <c r="G254" s="61"/>
      <c r="H254" s="61"/>
      <c r="I254" s="61"/>
      <c r="J254" s="62"/>
      <c r="K254" s="61"/>
      <c r="L254" s="61"/>
      <c r="M254" s="62"/>
      <c r="N254" s="104"/>
      <c r="O254" s="61"/>
      <c r="P254" s="62"/>
      <c r="Q254" s="73"/>
      <c r="R254" s="68"/>
      <c r="S254" s="68"/>
      <c r="T254" s="68"/>
      <c r="U254" s="68"/>
      <c r="V254" s="68"/>
      <c r="W254" s="69"/>
      <c r="X254" s="68"/>
      <c r="Y254" s="70"/>
      <c r="Z254" s="68"/>
      <c r="AA254" s="68"/>
      <c r="AB254" s="68"/>
    </row>
    <row r="255" spans="1:28" ht="16.899999999999999" customHeight="1" x14ac:dyDescent="0.25">
      <c r="A255" s="66"/>
      <c r="B255" s="77"/>
      <c r="C255" s="63"/>
      <c r="D255" s="67"/>
      <c r="E255" s="100"/>
      <c r="F255" s="61"/>
      <c r="G255" s="61"/>
      <c r="H255" s="61"/>
      <c r="I255" s="61"/>
      <c r="J255" s="62"/>
      <c r="K255" s="61"/>
      <c r="L255" s="61"/>
      <c r="M255" s="62"/>
      <c r="N255" s="104"/>
      <c r="O255" s="61"/>
      <c r="P255" s="62"/>
      <c r="Q255" s="73"/>
      <c r="R255" s="68"/>
      <c r="S255" s="68"/>
      <c r="T255" s="68"/>
      <c r="U255" s="68"/>
      <c r="V255" s="68"/>
      <c r="W255" s="69"/>
      <c r="X255" s="68"/>
      <c r="Y255" s="70"/>
      <c r="Z255" s="68"/>
      <c r="AA255" s="68"/>
      <c r="AB255" s="68"/>
    </row>
    <row r="256" spans="1:28" ht="16.899999999999999" customHeight="1" x14ac:dyDescent="0.25">
      <c r="A256" s="66"/>
      <c r="B256" s="77"/>
      <c r="C256" s="63"/>
      <c r="D256" s="67"/>
      <c r="E256" s="100"/>
      <c r="F256" s="61"/>
      <c r="G256" s="61"/>
      <c r="H256" s="61"/>
      <c r="I256" s="61"/>
      <c r="J256" s="62"/>
      <c r="K256" s="61"/>
      <c r="L256" s="61"/>
      <c r="M256" s="62"/>
      <c r="N256" s="104"/>
      <c r="O256" s="61"/>
      <c r="P256" s="62"/>
      <c r="Q256" s="73"/>
      <c r="R256" s="68"/>
      <c r="S256" s="68"/>
      <c r="T256" s="68"/>
      <c r="U256" s="68"/>
      <c r="V256" s="68"/>
      <c r="W256" s="69"/>
      <c r="X256" s="68"/>
      <c r="Y256" s="70"/>
      <c r="Z256" s="68"/>
      <c r="AA256" s="68"/>
      <c r="AB256" s="68"/>
    </row>
    <row r="257" spans="1:28" ht="16.899999999999999" customHeight="1" x14ac:dyDescent="0.25">
      <c r="A257" s="66"/>
      <c r="B257" s="77"/>
      <c r="C257" s="63"/>
      <c r="D257" s="67"/>
      <c r="E257" s="100"/>
      <c r="F257" s="61"/>
      <c r="G257" s="61"/>
      <c r="H257" s="61"/>
      <c r="I257" s="61"/>
      <c r="J257" s="62"/>
      <c r="K257" s="61"/>
      <c r="L257" s="61"/>
      <c r="M257" s="62"/>
      <c r="N257" s="104"/>
      <c r="O257" s="61"/>
      <c r="P257" s="62"/>
      <c r="Q257" s="73"/>
      <c r="R257" s="68"/>
      <c r="S257" s="68"/>
      <c r="T257" s="68"/>
      <c r="U257" s="68"/>
      <c r="V257" s="68"/>
      <c r="W257" s="69"/>
      <c r="X257" s="68"/>
      <c r="Y257" s="70"/>
      <c r="Z257" s="68"/>
      <c r="AA257" s="68"/>
      <c r="AB257" s="68"/>
    </row>
    <row r="258" spans="1:28" ht="16.899999999999999" customHeight="1" x14ac:dyDescent="0.25">
      <c r="A258" s="66"/>
      <c r="B258" s="77"/>
      <c r="C258" s="63"/>
      <c r="D258" s="67"/>
      <c r="E258" s="100"/>
      <c r="F258" s="61"/>
      <c r="G258" s="61"/>
      <c r="H258" s="61"/>
      <c r="I258" s="61"/>
      <c r="J258" s="62"/>
      <c r="K258" s="61"/>
      <c r="L258" s="61"/>
      <c r="M258" s="62"/>
      <c r="N258" s="104"/>
      <c r="O258" s="61"/>
      <c r="P258" s="62"/>
      <c r="Q258" s="73"/>
      <c r="R258" s="68"/>
      <c r="S258" s="68"/>
      <c r="T258" s="68"/>
      <c r="U258" s="68"/>
      <c r="V258" s="68"/>
      <c r="W258" s="69"/>
      <c r="X258" s="68"/>
      <c r="Y258" s="70"/>
      <c r="Z258" s="68"/>
      <c r="AA258" s="68"/>
      <c r="AB258" s="68"/>
    </row>
    <row r="259" spans="1:28" ht="16.899999999999999" customHeight="1" x14ac:dyDescent="0.25">
      <c r="A259" s="66"/>
      <c r="B259" s="77"/>
      <c r="C259" s="63"/>
      <c r="D259" s="67"/>
      <c r="E259" s="100"/>
      <c r="F259" s="61"/>
      <c r="G259" s="61"/>
      <c r="H259" s="61"/>
      <c r="I259" s="61"/>
      <c r="J259" s="62"/>
      <c r="K259" s="61"/>
      <c r="L259" s="61"/>
      <c r="M259" s="62"/>
      <c r="N259" s="104"/>
      <c r="O259" s="61"/>
      <c r="P259" s="62"/>
      <c r="Q259" s="73"/>
      <c r="R259" s="68"/>
      <c r="S259" s="68"/>
      <c r="T259" s="68"/>
      <c r="U259" s="68"/>
      <c r="V259" s="68"/>
      <c r="W259" s="69"/>
      <c r="X259" s="68"/>
      <c r="Y259" s="70"/>
      <c r="Z259" s="68"/>
      <c r="AA259" s="68"/>
      <c r="AB259" s="68"/>
    </row>
    <row r="260" spans="1:28" ht="16.899999999999999" customHeight="1" x14ac:dyDescent="0.25">
      <c r="A260" s="66"/>
      <c r="B260" s="77"/>
      <c r="C260" s="63"/>
      <c r="D260" s="67"/>
      <c r="E260" s="100"/>
      <c r="F260" s="61"/>
      <c r="G260" s="61"/>
      <c r="H260" s="61"/>
      <c r="I260" s="61"/>
      <c r="J260" s="62"/>
      <c r="K260" s="61"/>
      <c r="L260" s="61"/>
      <c r="M260" s="62"/>
      <c r="N260" s="104"/>
      <c r="O260" s="61"/>
      <c r="P260" s="62"/>
      <c r="Q260" s="73"/>
      <c r="R260" s="68"/>
      <c r="S260" s="68"/>
      <c r="T260" s="68"/>
      <c r="U260" s="68"/>
      <c r="V260" s="68"/>
      <c r="W260" s="69"/>
      <c r="X260" s="68"/>
      <c r="Y260" s="70"/>
      <c r="Z260" s="68"/>
      <c r="AA260" s="68"/>
      <c r="AB260" s="68"/>
    </row>
    <row r="261" spans="1:28" ht="16.899999999999999" customHeight="1" x14ac:dyDescent="0.25">
      <c r="A261" s="66"/>
      <c r="B261" s="77"/>
      <c r="C261" s="63"/>
      <c r="D261" s="67"/>
      <c r="E261" s="100"/>
      <c r="F261" s="61"/>
      <c r="G261" s="61"/>
      <c r="H261" s="61"/>
      <c r="I261" s="61"/>
      <c r="J261" s="62"/>
      <c r="K261" s="61"/>
      <c r="L261" s="61"/>
      <c r="M261" s="62"/>
      <c r="N261" s="104"/>
      <c r="O261" s="61"/>
      <c r="P261" s="62"/>
      <c r="Q261" s="73"/>
      <c r="R261" s="68"/>
      <c r="S261" s="68"/>
      <c r="T261" s="68"/>
      <c r="U261" s="68"/>
      <c r="V261" s="68"/>
      <c r="W261" s="69"/>
      <c r="X261" s="68"/>
      <c r="Y261" s="70"/>
      <c r="Z261" s="68"/>
      <c r="AA261" s="68"/>
      <c r="AB261" s="68"/>
    </row>
    <row r="262" spans="1:28" ht="16.899999999999999" customHeight="1" x14ac:dyDescent="0.25">
      <c r="A262" s="66"/>
      <c r="B262" s="77"/>
      <c r="C262" s="63"/>
      <c r="D262" s="67"/>
      <c r="E262" s="100"/>
      <c r="F262" s="61"/>
      <c r="G262" s="61"/>
      <c r="H262" s="61"/>
      <c r="I262" s="61"/>
      <c r="J262" s="62"/>
      <c r="K262" s="61"/>
      <c r="L262" s="61"/>
      <c r="M262" s="62"/>
      <c r="N262" s="104"/>
      <c r="O262" s="61"/>
      <c r="P262" s="62"/>
      <c r="Q262" s="73"/>
      <c r="R262" s="68"/>
      <c r="S262" s="68"/>
      <c r="T262" s="68"/>
      <c r="U262" s="68"/>
      <c r="V262" s="68"/>
      <c r="W262" s="69"/>
      <c r="X262" s="68"/>
      <c r="Y262" s="70"/>
      <c r="Z262" s="68"/>
      <c r="AA262" s="68"/>
      <c r="AB262" s="68"/>
    </row>
    <row r="263" spans="1:28" ht="16.899999999999999" customHeight="1" x14ac:dyDescent="0.25">
      <c r="A263" s="66"/>
      <c r="B263" s="77"/>
      <c r="C263" s="63"/>
      <c r="D263" s="67"/>
      <c r="E263" s="100"/>
      <c r="F263" s="61"/>
      <c r="G263" s="61"/>
      <c r="H263" s="61"/>
      <c r="I263" s="61"/>
      <c r="J263" s="62"/>
      <c r="K263" s="61"/>
      <c r="L263" s="61"/>
      <c r="M263" s="62"/>
      <c r="N263" s="104"/>
      <c r="O263" s="61"/>
      <c r="P263" s="62"/>
      <c r="Q263" s="73"/>
      <c r="R263" s="68"/>
      <c r="S263" s="68"/>
      <c r="T263" s="68"/>
      <c r="U263" s="68"/>
      <c r="V263" s="68"/>
      <c r="W263" s="69"/>
      <c r="X263" s="68"/>
      <c r="Y263" s="70"/>
      <c r="Z263" s="68"/>
      <c r="AA263" s="68"/>
      <c r="AB263" s="68"/>
    </row>
    <row r="264" spans="1:28" ht="16.899999999999999" customHeight="1" x14ac:dyDescent="0.25">
      <c r="A264" s="66"/>
      <c r="B264" s="77"/>
      <c r="C264" s="63"/>
      <c r="D264" s="67"/>
      <c r="E264" s="100"/>
      <c r="F264" s="61"/>
      <c r="G264" s="61"/>
      <c r="H264" s="61"/>
      <c r="I264" s="61"/>
      <c r="J264" s="62"/>
      <c r="K264" s="61"/>
      <c r="L264" s="61"/>
      <c r="M264" s="62"/>
      <c r="N264" s="104"/>
      <c r="O264" s="61"/>
      <c r="P264" s="62"/>
      <c r="Q264" s="73"/>
      <c r="R264" s="68"/>
      <c r="S264" s="68"/>
      <c r="T264" s="68"/>
      <c r="U264" s="68"/>
      <c r="V264" s="68"/>
      <c r="W264" s="69"/>
      <c r="X264" s="68"/>
      <c r="Y264" s="70"/>
      <c r="Z264" s="68"/>
      <c r="AA264" s="68"/>
      <c r="AB264" s="68"/>
    </row>
    <row r="265" spans="1:28" ht="16.899999999999999" customHeight="1" x14ac:dyDescent="0.25">
      <c r="A265" s="66"/>
      <c r="B265" s="77"/>
      <c r="C265" s="63"/>
      <c r="D265" s="67"/>
      <c r="E265" s="100"/>
      <c r="F265" s="61"/>
      <c r="G265" s="61"/>
      <c r="H265" s="61"/>
      <c r="I265" s="61"/>
      <c r="J265" s="62"/>
      <c r="K265" s="61"/>
      <c r="L265" s="61"/>
      <c r="M265" s="62"/>
      <c r="N265" s="104"/>
      <c r="O265" s="61"/>
      <c r="P265" s="62"/>
      <c r="Q265" s="73"/>
      <c r="R265" s="68"/>
      <c r="S265" s="68"/>
      <c r="T265" s="68"/>
      <c r="U265" s="68"/>
      <c r="V265" s="68"/>
      <c r="W265" s="69"/>
      <c r="X265" s="68"/>
      <c r="Y265" s="70"/>
      <c r="Z265" s="68"/>
      <c r="AA265" s="68"/>
      <c r="AB265" s="68"/>
    </row>
    <row r="266" spans="1:28" ht="16.899999999999999" customHeight="1" x14ac:dyDescent="0.25">
      <c r="A266" s="66"/>
      <c r="B266" s="77"/>
      <c r="C266" s="63"/>
      <c r="D266" s="67"/>
      <c r="E266" s="100"/>
      <c r="F266" s="61"/>
      <c r="G266" s="61"/>
      <c r="H266" s="61"/>
      <c r="I266" s="61"/>
      <c r="J266" s="62"/>
      <c r="K266" s="61"/>
      <c r="L266" s="61"/>
      <c r="M266" s="62"/>
      <c r="N266" s="104"/>
      <c r="O266" s="61"/>
      <c r="P266" s="62"/>
      <c r="Q266" s="73"/>
      <c r="R266" s="68"/>
      <c r="S266" s="68"/>
      <c r="T266" s="68"/>
      <c r="U266" s="68"/>
      <c r="V266" s="68"/>
      <c r="W266" s="69"/>
      <c r="X266" s="68"/>
      <c r="Y266" s="70"/>
      <c r="Z266" s="68"/>
      <c r="AA266" s="68"/>
      <c r="AB266" s="68"/>
    </row>
    <row r="267" spans="1:28" ht="16.899999999999999" customHeight="1" x14ac:dyDescent="0.25">
      <c r="A267" s="66"/>
      <c r="B267" s="77"/>
      <c r="C267" s="63"/>
      <c r="D267" s="67"/>
      <c r="E267" s="100"/>
      <c r="F267" s="61"/>
      <c r="G267" s="61"/>
      <c r="H267" s="61"/>
      <c r="I267" s="61"/>
      <c r="J267" s="62"/>
      <c r="K267" s="61"/>
      <c r="L267" s="61"/>
      <c r="M267" s="62"/>
      <c r="N267" s="104"/>
      <c r="O267" s="61"/>
      <c r="P267" s="62"/>
      <c r="Q267" s="73"/>
      <c r="R267" s="68"/>
      <c r="S267" s="68"/>
      <c r="T267" s="68"/>
      <c r="U267" s="68"/>
      <c r="V267" s="68"/>
      <c r="W267" s="69"/>
      <c r="X267" s="68"/>
      <c r="Y267" s="70"/>
      <c r="Z267" s="68"/>
      <c r="AA267" s="68"/>
      <c r="AB267" s="68"/>
    </row>
    <row r="268" spans="1:28" ht="16.899999999999999" customHeight="1" x14ac:dyDescent="0.25">
      <c r="A268" s="66"/>
      <c r="B268" s="77"/>
      <c r="C268" s="63"/>
      <c r="D268" s="67"/>
      <c r="E268" s="100"/>
      <c r="F268" s="61"/>
      <c r="G268" s="61"/>
      <c r="H268" s="61"/>
      <c r="I268" s="61"/>
      <c r="J268" s="62"/>
      <c r="K268" s="61"/>
      <c r="L268" s="61"/>
      <c r="M268" s="62"/>
      <c r="N268" s="104"/>
      <c r="O268" s="61"/>
      <c r="P268" s="62"/>
      <c r="Q268" s="73"/>
      <c r="R268" s="68"/>
      <c r="S268" s="68"/>
      <c r="T268" s="68"/>
      <c r="U268" s="68"/>
      <c r="V268" s="68"/>
      <c r="W268" s="69"/>
      <c r="X268" s="68"/>
      <c r="Y268" s="70"/>
      <c r="Z268" s="68"/>
      <c r="AA268" s="68"/>
      <c r="AB268" s="68"/>
    </row>
    <row r="269" spans="1:28" ht="16.899999999999999" customHeight="1" x14ac:dyDescent="0.25">
      <c r="A269" s="66"/>
      <c r="B269" s="77"/>
      <c r="C269" s="63"/>
      <c r="D269" s="67"/>
      <c r="E269" s="100"/>
      <c r="F269" s="61"/>
      <c r="G269" s="61"/>
      <c r="H269" s="61"/>
      <c r="I269" s="61"/>
      <c r="J269" s="62"/>
      <c r="K269" s="61"/>
      <c r="L269" s="61"/>
      <c r="M269" s="62"/>
      <c r="N269" s="104"/>
      <c r="O269" s="61"/>
      <c r="P269" s="62"/>
      <c r="Q269" s="73"/>
      <c r="R269" s="68"/>
      <c r="S269" s="68"/>
      <c r="T269" s="68"/>
      <c r="U269" s="68"/>
      <c r="V269" s="68"/>
      <c r="W269" s="69"/>
      <c r="X269" s="68"/>
      <c r="Y269" s="70"/>
      <c r="Z269" s="68"/>
      <c r="AA269" s="68"/>
      <c r="AB269" s="68"/>
    </row>
    <row r="270" spans="1:28" ht="16.899999999999999" customHeight="1" x14ac:dyDescent="0.25">
      <c r="A270" s="66"/>
      <c r="B270" s="77"/>
      <c r="C270" s="63"/>
      <c r="D270" s="67"/>
      <c r="E270" s="100"/>
      <c r="F270" s="61"/>
      <c r="G270" s="61"/>
      <c r="H270" s="61"/>
      <c r="I270" s="61"/>
      <c r="J270" s="62"/>
      <c r="K270" s="61"/>
      <c r="L270" s="61"/>
      <c r="M270" s="62"/>
      <c r="N270" s="104"/>
      <c r="O270" s="61"/>
      <c r="P270" s="62"/>
      <c r="Q270" s="73"/>
      <c r="R270" s="68"/>
      <c r="S270" s="68"/>
      <c r="T270" s="68"/>
      <c r="U270" s="68"/>
      <c r="V270" s="68"/>
      <c r="W270" s="69"/>
      <c r="X270" s="68"/>
      <c r="Y270" s="70"/>
      <c r="Z270" s="68"/>
      <c r="AA270" s="68"/>
      <c r="AB270" s="68"/>
    </row>
    <row r="271" spans="1:28" ht="16.899999999999999" customHeight="1" x14ac:dyDescent="0.25">
      <c r="A271" s="66"/>
      <c r="B271" s="77"/>
      <c r="C271" s="63"/>
      <c r="D271" s="67"/>
      <c r="E271" s="100"/>
      <c r="F271" s="61"/>
      <c r="G271" s="61"/>
      <c r="H271" s="61"/>
      <c r="I271" s="61"/>
      <c r="J271" s="62"/>
      <c r="K271" s="61"/>
      <c r="L271" s="61"/>
      <c r="M271" s="62"/>
      <c r="N271" s="104"/>
      <c r="O271" s="61"/>
      <c r="P271" s="62"/>
      <c r="Q271" s="73"/>
      <c r="R271" s="68"/>
      <c r="S271" s="68"/>
      <c r="T271" s="68"/>
      <c r="U271" s="68"/>
      <c r="V271" s="68"/>
      <c r="W271" s="69"/>
      <c r="X271" s="68"/>
      <c r="Y271" s="70"/>
      <c r="Z271" s="68"/>
      <c r="AA271" s="68"/>
      <c r="AB271" s="68"/>
    </row>
    <row r="272" spans="1:28" ht="16.899999999999999" customHeight="1" x14ac:dyDescent="0.25">
      <c r="A272" s="66"/>
      <c r="B272" s="77"/>
      <c r="C272" s="63"/>
      <c r="D272" s="67"/>
      <c r="E272" s="100"/>
      <c r="F272" s="61"/>
      <c r="G272" s="61"/>
      <c r="H272" s="61"/>
      <c r="I272" s="61"/>
      <c r="J272" s="62"/>
      <c r="K272" s="61"/>
      <c r="L272" s="61"/>
      <c r="M272" s="62"/>
      <c r="N272" s="104"/>
      <c r="O272" s="61"/>
      <c r="P272" s="62"/>
      <c r="Q272" s="73"/>
      <c r="R272" s="68"/>
      <c r="S272" s="68"/>
      <c r="T272" s="68"/>
      <c r="U272" s="68"/>
      <c r="V272" s="68"/>
      <c r="W272" s="69"/>
      <c r="X272" s="68"/>
      <c r="Y272" s="70"/>
      <c r="Z272" s="68"/>
      <c r="AA272" s="68"/>
      <c r="AB272" s="68"/>
    </row>
    <row r="273" spans="1:28" ht="16.899999999999999" customHeight="1" x14ac:dyDescent="0.25">
      <c r="A273" s="66"/>
      <c r="B273" s="77"/>
      <c r="C273" s="63"/>
      <c r="D273" s="67"/>
      <c r="E273" s="100"/>
      <c r="F273" s="61"/>
      <c r="G273" s="61"/>
      <c r="H273" s="61"/>
      <c r="I273" s="61"/>
      <c r="J273" s="62"/>
      <c r="K273" s="61"/>
      <c r="L273" s="61"/>
      <c r="M273" s="62"/>
      <c r="N273" s="104"/>
      <c r="O273" s="61"/>
      <c r="P273" s="62"/>
      <c r="Q273" s="73"/>
      <c r="R273" s="68"/>
      <c r="S273" s="68"/>
      <c r="T273" s="68"/>
      <c r="U273" s="68"/>
      <c r="V273" s="68"/>
      <c r="W273" s="69"/>
      <c r="X273" s="68"/>
      <c r="Y273" s="70"/>
      <c r="Z273" s="68"/>
      <c r="AA273" s="68"/>
      <c r="AB273" s="68"/>
    </row>
    <row r="274" spans="1:28" ht="16.899999999999999" customHeight="1" x14ac:dyDescent="0.25">
      <c r="A274" s="66"/>
      <c r="B274" s="77"/>
      <c r="C274" s="63"/>
      <c r="D274" s="67"/>
      <c r="E274" s="100"/>
      <c r="F274" s="61"/>
      <c r="G274" s="61"/>
      <c r="H274" s="61"/>
      <c r="I274" s="61"/>
      <c r="J274" s="62"/>
      <c r="K274" s="61"/>
      <c r="L274" s="61"/>
      <c r="M274" s="62"/>
      <c r="N274" s="104"/>
      <c r="O274" s="61"/>
      <c r="P274" s="62"/>
      <c r="Q274" s="73"/>
      <c r="R274" s="68"/>
      <c r="S274" s="68"/>
      <c r="T274" s="68"/>
      <c r="U274" s="68"/>
      <c r="V274" s="68"/>
      <c r="W274" s="69"/>
      <c r="X274" s="68"/>
      <c r="Y274" s="70"/>
      <c r="Z274" s="68"/>
      <c r="AA274" s="68"/>
      <c r="AB274" s="68"/>
    </row>
    <row r="275" spans="1:28" ht="16.899999999999999" customHeight="1" x14ac:dyDescent="0.25">
      <c r="A275" s="66"/>
      <c r="B275" s="77"/>
      <c r="C275" s="63"/>
      <c r="D275" s="67"/>
      <c r="E275" s="100"/>
      <c r="F275" s="61"/>
      <c r="G275" s="61"/>
      <c r="H275" s="61"/>
      <c r="I275" s="61"/>
      <c r="J275" s="62"/>
      <c r="K275" s="61"/>
      <c r="L275" s="61"/>
      <c r="M275" s="62"/>
      <c r="N275" s="104"/>
      <c r="O275" s="61"/>
      <c r="P275" s="62"/>
      <c r="Q275" s="73"/>
      <c r="R275" s="68"/>
      <c r="S275" s="68"/>
      <c r="T275" s="68"/>
      <c r="U275" s="68"/>
      <c r="V275" s="68"/>
      <c r="W275" s="69"/>
      <c r="X275" s="68"/>
      <c r="Y275" s="70"/>
      <c r="Z275" s="68"/>
      <c r="AA275" s="68"/>
      <c r="AB275" s="68"/>
    </row>
    <row r="276" spans="1:28" ht="16.899999999999999" customHeight="1" x14ac:dyDescent="0.25">
      <c r="A276" s="66"/>
      <c r="B276" s="77"/>
      <c r="C276" s="63"/>
      <c r="D276" s="67"/>
      <c r="E276" s="100"/>
      <c r="F276" s="61"/>
      <c r="G276" s="61"/>
      <c r="H276" s="61"/>
      <c r="I276" s="61"/>
      <c r="J276" s="62"/>
      <c r="K276" s="61"/>
      <c r="L276" s="61"/>
      <c r="M276" s="62"/>
      <c r="N276" s="104"/>
      <c r="O276" s="61"/>
      <c r="P276" s="62"/>
      <c r="Q276" s="73"/>
      <c r="R276" s="68"/>
      <c r="S276" s="68"/>
      <c r="T276" s="68"/>
      <c r="U276" s="68"/>
      <c r="V276" s="68"/>
      <c r="W276" s="69"/>
      <c r="X276" s="68"/>
      <c r="Y276" s="70"/>
      <c r="Z276" s="68"/>
      <c r="AA276" s="68"/>
      <c r="AB276" s="68"/>
    </row>
    <row r="277" spans="1:28" ht="16.899999999999999" customHeight="1" x14ac:dyDescent="0.25">
      <c r="A277" s="66"/>
      <c r="B277" s="77"/>
      <c r="C277" s="63"/>
      <c r="D277" s="67"/>
      <c r="E277" s="100"/>
      <c r="F277" s="61"/>
      <c r="G277" s="61"/>
      <c r="H277" s="61"/>
      <c r="I277" s="61"/>
      <c r="J277" s="62"/>
      <c r="K277" s="61"/>
      <c r="L277" s="61"/>
      <c r="M277" s="62"/>
      <c r="N277" s="104"/>
      <c r="O277" s="61"/>
      <c r="P277" s="62"/>
      <c r="Q277" s="73"/>
      <c r="R277" s="68"/>
      <c r="S277" s="68"/>
      <c r="T277" s="68"/>
      <c r="U277" s="68"/>
      <c r="V277" s="68"/>
      <c r="W277" s="69"/>
      <c r="X277" s="68"/>
      <c r="Y277" s="70"/>
      <c r="Z277" s="68"/>
      <c r="AA277" s="68"/>
      <c r="AB277" s="68"/>
    </row>
    <row r="278" spans="1:28" ht="16.899999999999999" customHeight="1" x14ac:dyDescent="0.25">
      <c r="A278" s="66"/>
      <c r="B278" s="77"/>
      <c r="C278" s="63"/>
      <c r="D278" s="67"/>
      <c r="E278" s="100"/>
      <c r="F278" s="61"/>
      <c r="G278" s="61"/>
      <c r="H278" s="61"/>
      <c r="I278" s="61"/>
      <c r="J278" s="62"/>
      <c r="K278" s="61"/>
      <c r="L278" s="61"/>
      <c r="M278" s="62"/>
      <c r="N278" s="104"/>
      <c r="O278" s="61"/>
      <c r="P278" s="62"/>
      <c r="Q278" s="73"/>
      <c r="R278" s="68"/>
      <c r="S278" s="68"/>
      <c r="T278" s="68"/>
      <c r="U278" s="68"/>
      <c r="V278" s="68"/>
      <c r="W278" s="69"/>
      <c r="X278" s="68"/>
      <c r="Y278" s="70"/>
      <c r="Z278" s="68"/>
      <c r="AA278" s="68"/>
      <c r="AB278" s="68"/>
    </row>
    <row r="279" spans="1:28" ht="16.899999999999999" customHeight="1" x14ac:dyDescent="0.25">
      <c r="A279" s="66"/>
      <c r="B279" s="77"/>
      <c r="C279" s="63"/>
      <c r="D279" s="67"/>
      <c r="E279" s="100"/>
      <c r="F279" s="61"/>
      <c r="G279" s="61"/>
      <c r="H279" s="61"/>
      <c r="I279" s="61"/>
      <c r="J279" s="62"/>
      <c r="K279" s="61"/>
      <c r="L279" s="61"/>
      <c r="M279" s="62"/>
      <c r="N279" s="104"/>
      <c r="O279" s="61"/>
      <c r="P279" s="62"/>
      <c r="Q279" s="73"/>
      <c r="R279" s="68"/>
      <c r="S279" s="68"/>
      <c r="T279" s="68"/>
      <c r="U279" s="68"/>
      <c r="V279" s="68"/>
      <c r="W279" s="69"/>
      <c r="X279" s="68"/>
      <c r="Y279" s="70"/>
      <c r="Z279" s="68"/>
      <c r="AA279" s="68"/>
      <c r="AB279" s="68"/>
    </row>
    <row r="280" spans="1:28" ht="16.899999999999999" customHeight="1" x14ac:dyDescent="0.25">
      <c r="A280" s="66"/>
      <c r="B280" s="77"/>
      <c r="C280" s="63"/>
      <c r="D280" s="67"/>
      <c r="E280" s="100"/>
      <c r="F280" s="61"/>
      <c r="G280" s="61"/>
      <c r="H280" s="61"/>
      <c r="I280" s="61"/>
      <c r="J280" s="62"/>
      <c r="K280" s="61"/>
      <c r="L280" s="61"/>
      <c r="M280" s="62"/>
      <c r="N280" s="104"/>
      <c r="O280" s="61"/>
      <c r="P280" s="62"/>
      <c r="Q280" s="73"/>
      <c r="R280" s="68"/>
      <c r="S280" s="68"/>
      <c r="T280" s="68"/>
      <c r="U280" s="68"/>
      <c r="V280" s="68"/>
      <c r="W280" s="69"/>
      <c r="X280" s="68"/>
      <c r="Y280" s="70"/>
      <c r="Z280" s="68"/>
      <c r="AA280" s="68"/>
      <c r="AB280" s="68"/>
    </row>
    <row r="281" spans="1:28" ht="16.899999999999999" customHeight="1" x14ac:dyDescent="0.25">
      <c r="A281" s="66"/>
      <c r="B281" s="77"/>
      <c r="C281" s="63"/>
      <c r="D281" s="67"/>
      <c r="E281" s="100"/>
      <c r="F281" s="61"/>
      <c r="G281" s="61"/>
      <c r="H281" s="61"/>
      <c r="I281" s="61"/>
      <c r="J281" s="62"/>
      <c r="K281" s="61"/>
      <c r="L281" s="61"/>
      <c r="M281" s="62"/>
      <c r="N281" s="104"/>
      <c r="O281" s="61"/>
      <c r="P281" s="62"/>
      <c r="Q281" s="73"/>
      <c r="R281" s="68"/>
      <c r="S281" s="68"/>
      <c r="T281" s="68"/>
      <c r="U281" s="68"/>
      <c r="V281" s="68"/>
      <c r="W281" s="69"/>
      <c r="X281" s="68"/>
      <c r="Y281" s="70"/>
      <c r="Z281" s="68"/>
      <c r="AA281" s="68"/>
      <c r="AB281" s="68"/>
    </row>
    <row r="282" spans="1:28" ht="16.899999999999999" customHeight="1" x14ac:dyDescent="0.25">
      <c r="A282" s="66"/>
      <c r="B282" s="77"/>
      <c r="C282" s="63"/>
      <c r="D282" s="67"/>
      <c r="E282" s="100"/>
      <c r="F282" s="61"/>
      <c r="G282" s="61"/>
      <c r="H282" s="61"/>
      <c r="I282" s="61"/>
      <c r="J282" s="62"/>
      <c r="K282" s="61"/>
      <c r="L282" s="61"/>
      <c r="M282" s="62"/>
      <c r="N282" s="104"/>
      <c r="O282" s="61"/>
      <c r="P282" s="62"/>
      <c r="Q282" s="73"/>
      <c r="R282" s="68"/>
      <c r="S282" s="68"/>
      <c r="T282" s="68"/>
      <c r="U282" s="68"/>
      <c r="V282" s="68"/>
      <c r="W282" s="69"/>
      <c r="X282" s="68"/>
      <c r="Y282" s="70"/>
      <c r="Z282" s="68"/>
      <c r="AA282" s="68"/>
      <c r="AB282" s="68"/>
    </row>
    <row r="283" spans="1:28" ht="16.899999999999999" customHeight="1" x14ac:dyDescent="0.25">
      <c r="A283" s="66"/>
      <c r="B283" s="77"/>
      <c r="C283" s="63"/>
      <c r="D283" s="67"/>
      <c r="E283" s="100"/>
      <c r="F283" s="61"/>
      <c r="G283" s="61"/>
      <c r="H283" s="61"/>
      <c r="I283" s="61"/>
      <c r="J283" s="62"/>
      <c r="K283" s="61"/>
      <c r="L283" s="61"/>
      <c r="M283" s="62"/>
      <c r="N283" s="104"/>
      <c r="O283" s="61"/>
      <c r="P283" s="62"/>
      <c r="Q283" s="73"/>
      <c r="R283" s="68"/>
      <c r="S283" s="68"/>
      <c r="T283" s="68"/>
      <c r="U283" s="68"/>
      <c r="V283" s="68"/>
      <c r="W283" s="69"/>
      <c r="X283" s="68"/>
      <c r="Y283" s="70"/>
      <c r="Z283" s="68"/>
      <c r="AA283" s="68"/>
      <c r="AB283" s="68"/>
    </row>
    <row r="284" spans="1:28" ht="16.899999999999999" customHeight="1" x14ac:dyDescent="0.25">
      <c r="A284" s="66"/>
      <c r="B284" s="77"/>
      <c r="C284" s="63"/>
      <c r="D284" s="67"/>
      <c r="E284" s="100"/>
      <c r="F284" s="61"/>
      <c r="G284" s="61"/>
      <c r="H284" s="61"/>
      <c r="I284" s="61"/>
      <c r="J284" s="62"/>
      <c r="K284" s="61"/>
      <c r="L284" s="61"/>
      <c r="M284" s="62"/>
      <c r="N284" s="104"/>
      <c r="O284" s="61"/>
      <c r="P284" s="62"/>
      <c r="Q284" s="73"/>
      <c r="R284" s="68"/>
      <c r="S284" s="68"/>
      <c r="T284" s="68"/>
      <c r="U284" s="68"/>
      <c r="V284" s="68"/>
      <c r="W284" s="69"/>
      <c r="X284" s="68"/>
      <c r="Y284" s="70"/>
      <c r="Z284" s="68"/>
      <c r="AA284" s="68"/>
      <c r="AB284" s="68"/>
    </row>
    <row r="285" spans="1:28" ht="16.899999999999999" customHeight="1" x14ac:dyDescent="0.25">
      <c r="A285" s="66"/>
      <c r="B285" s="77"/>
      <c r="C285" s="63"/>
      <c r="D285" s="67"/>
      <c r="E285" s="100"/>
      <c r="F285" s="61"/>
      <c r="G285" s="61"/>
      <c r="H285" s="61"/>
      <c r="I285" s="61"/>
      <c r="J285" s="62"/>
      <c r="K285" s="61"/>
      <c r="L285" s="61"/>
      <c r="M285" s="62"/>
      <c r="N285" s="104"/>
      <c r="O285" s="61"/>
      <c r="P285" s="62"/>
      <c r="Q285" s="73"/>
      <c r="R285" s="68"/>
      <c r="S285" s="68"/>
      <c r="T285" s="68"/>
      <c r="U285" s="68"/>
      <c r="V285" s="68"/>
      <c r="W285" s="69"/>
      <c r="X285" s="68"/>
      <c r="Y285" s="70"/>
      <c r="Z285" s="68"/>
      <c r="AA285" s="68"/>
      <c r="AB285" s="68"/>
    </row>
    <row r="286" spans="1:28" ht="16.899999999999999" customHeight="1" x14ac:dyDescent="0.25">
      <c r="A286" s="66"/>
      <c r="B286" s="77"/>
      <c r="C286" s="63"/>
      <c r="D286" s="67"/>
      <c r="E286" s="100"/>
      <c r="F286" s="61"/>
      <c r="G286" s="61"/>
      <c r="H286" s="61"/>
      <c r="I286" s="61"/>
      <c r="J286" s="62"/>
      <c r="K286" s="61"/>
      <c r="L286" s="61"/>
      <c r="M286" s="62"/>
      <c r="N286" s="104"/>
      <c r="O286" s="61"/>
      <c r="P286" s="62"/>
      <c r="Q286" s="73"/>
      <c r="R286" s="68"/>
      <c r="S286" s="68"/>
      <c r="T286" s="68"/>
      <c r="U286" s="68"/>
      <c r="V286" s="68"/>
      <c r="W286" s="69"/>
      <c r="X286" s="68"/>
      <c r="Y286" s="70"/>
      <c r="Z286" s="68"/>
      <c r="AA286" s="68"/>
      <c r="AB286" s="68"/>
    </row>
    <row r="287" spans="1:28" ht="16.899999999999999" customHeight="1" x14ac:dyDescent="0.25">
      <c r="A287" s="66"/>
      <c r="B287" s="77"/>
      <c r="C287" s="63"/>
      <c r="D287" s="67"/>
      <c r="E287" s="100"/>
      <c r="F287" s="61"/>
      <c r="G287" s="61"/>
      <c r="H287" s="61"/>
      <c r="I287" s="61"/>
      <c r="J287" s="62"/>
      <c r="K287" s="61"/>
      <c r="L287" s="61"/>
      <c r="M287" s="62"/>
      <c r="N287" s="104"/>
      <c r="O287" s="61"/>
      <c r="P287" s="62"/>
      <c r="Q287" s="73"/>
      <c r="R287" s="68"/>
      <c r="S287" s="68"/>
      <c r="T287" s="68"/>
      <c r="U287" s="68"/>
      <c r="V287" s="68"/>
      <c r="W287" s="69"/>
      <c r="X287" s="68"/>
      <c r="Y287" s="70"/>
      <c r="Z287" s="68"/>
      <c r="AA287" s="68"/>
      <c r="AB287" s="68"/>
    </row>
    <row r="288" spans="1:28" ht="16.899999999999999" customHeight="1" x14ac:dyDescent="0.25">
      <c r="A288" s="66"/>
      <c r="B288" s="77"/>
      <c r="C288" s="63"/>
      <c r="D288" s="67"/>
      <c r="E288" s="100"/>
      <c r="F288" s="61"/>
      <c r="G288" s="61"/>
      <c r="H288" s="61"/>
      <c r="I288" s="61"/>
      <c r="J288" s="62"/>
      <c r="K288" s="61"/>
      <c r="L288" s="61"/>
      <c r="M288" s="62"/>
      <c r="N288" s="104"/>
      <c r="O288" s="61"/>
      <c r="P288" s="62"/>
      <c r="Q288" s="73"/>
      <c r="R288" s="68"/>
      <c r="S288" s="68"/>
      <c r="T288" s="68"/>
      <c r="U288" s="68"/>
      <c r="V288" s="68"/>
      <c r="W288" s="69"/>
      <c r="X288" s="68"/>
      <c r="Y288" s="70"/>
      <c r="Z288" s="68"/>
      <c r="AA288" s="68"/>
      <c r="AB288" s="68"/>
    </row>
    <row r="289" spans="1:28" ht="16.899999999999999" customHeight="1" x14ac:dyDescent="0.25">
      <c r="A289" s="66"/>
      <c r="B289" s="77"/>
      <c r="C289" s="63"/>
      <c r="D289" s="67"/>
      <c r="E289" s="100"/>
      <c r="F289" s="61"/>
      <c r="G289" s="61"/>
      <c r="H289" s="61"/>
      <c r="I289" s="61"/>
      <c r="J289" s="62"/>
      <c r="K289" s="61"/>
      <c r="L289" s="61"/>
      <c r="M289" s="62"/>
      <c r="N289" s="104"/>
      <c r="O289" s="61"/>
      <c r="P289" s="62"/>
      <c r="Q289" s="73"/>
      <c r="R289" s="68"/>
      <c r="S289" s="68"/>
      <c r="T289" s="68"/>
      <c r="U289" s="68"/>
      <c r="V289" s="68"/>
      <c r="W289" s="69"/>
      <c r="X289" s="68"/>
      <c r="Y289" s="70"/>
      <c r="Z289" s="68"/>
      <c r="AA289" s="68"/>
      <c r="AB289" s="68"/>
    </row>
    <row r="290" spans="1:28" ht="16.899999999999999" customHeight="1" x14ac:dyDescent="0.25">
      <c r="A290" s="66"/>
      <c r="B290" s="77"/>
      <c r="C290" s="63"/>
      <c r="D290" s="67"/>
      <c r="E290" s="100"/>
      <c r="F290" s="61"/>
      <c r="G290" s="61"/>
      <c r="H290" s="61"/>
      <c r="I290" s="61"/>
      <c r="J290" s="62"/>
      <c r="K290" s="61"/>
      <c r="L290" s="61"/>
      <c r="M290" s="62"/>
      <c r="N290" s="104"/>
      <c r="O290" s="61"/>
      <c r="P290" s="62"/>
      <c r="Q290" s="73"/>
      <c r="R290" s="68"/>
      <c r="S290" s="68"/>
      <c r="T290" s="68"/>
      <c r="U290" s="68"/>
      <c r="V290" s="68"/>
      <c r="W290" s="69"/>
      <c r="X290" s="68"/>
      <c r="Y290" s="70"/>
      <c r="Z290" s="68"/>
      <c r="AA290" s="68"/>
      <c r="AB290" s="68"/>
    </row>
    <row r="291" spans="1:28" ht="16.899999999999999" customHeight="1" x14ac:dyDescent="0.25">
      <c r="A291" s="66"/>
      <c r="B291" s="77"/>
      <c r="C291" s="63"/>
      <c r="D291" s="67"/>
      <c r="E291" s="100"/>
      <c r="F291" s="61"/>
      <c r="G291" s="61"/>
      <c r="H291" s="61"/>
      <c r="I291" s="61"/>
      <c r="J291" s="62"/>
      <c r="K291" s="61"/>
      <c r="L291" s="61"/>
      <c r="M291" s="62"/>
      <c r="N291" s="104"/>
      <c r="O291" s="61"/>
      <c r="P291" s="62"/>
      <c r="Q291" s="73"/>
      <c r="R291" s="68"/>
      <c r="S291" s="68"/>
      <c r="T291" s="68"/>
      <c r="U291" s="68"/>
      <c r="V291" s="68"/>
      <c r="W291" s="69"/>
      <c r="X291" s="68"/>
      <c r="Y291" s="70"/>
      <c r="Z291" s="68"/>
      <c r="AA291" s="68"/>
      <c r="AB291" s="68"/>
    </row>
    <row r="292" spans="1:28" ht="16.899999999999999" customHeight="1" x14ac:dyDescent="0.25">
      <c r="A292" s="66"/>
      <c r="B292" s="77"/>
      <c r="C292" s="63"/>
      <c r="D292" s="67"/>
      <c r="E292" s="100"/>
      <c r="F292" s="61"/>
      <c r="G292" s="61"/>
      <c r="H292" s="61"/>
      <c r="I292" s="61"/>
      <c r="J292" s="62"/>
      <c r="K292" s="61"/>
      <c r="L292" s="61"/>
      <c r="M292" s="62"/>
      <c r="N292" s="104"/>
      <c r="O292" s="61"/>
      <c r="P292" s="62"/>
      <c r="Q292" s="73"/>
      <c r="R292" s="68"/>
      <c r="S292" s="68"/>
      <c r="T292" s="68"/>
      <c r="U292" s="68"/>
      <c r="V292" s="68"/>
      <c r="W292" s="69"/>
      <c r="X292" s="68"/>
      <c r="Y292" s="70"/>
      <c r="Z292" s="68"/>
      <c r="AA292" s="68"/>
      <c r="AB292" s="68"/>
    </row>
    <row r="293" spans="1:28" ht="16.899999999999999" customHeight="1" x14ac:dyDescent="0.25">
      <c r="A293" s="66"/>
      <c r="B293" s="77"/>
      <c r="C293" s="63"/>
      <c r="D293" s="67"/>
      <c r="E293" s="100"/>
      <c r="F293" s="61"/>
      <c r="G293" s="61"/>
      <c r="H293" s="61"/>
      <c r="I293" s="61"/>
      <c r="J293" s="62"/>
      <c r="K293" s="61"/>
      <c r="L293" s="61"/>
      <c r="M293" s="62"/>
      <c r="N293" s="104"/>
      <c r="O293" s="61"/>
      <c r="P293" s="62"/>
      <c r="Q293" s="73"/>
      <c r="R293" s="68"/>
      <c r="S293" s="68"/>
      <c r="T293" s="68"/>
      <c r="U293" s="68"/>
      <c r="V293" s="68"/>
      <c r="W293" s="69"/>
      <c r="X293" s="68"/>
      <c r="Y293" s="70"/>
      <c r="Z293" s="68"/>
      <c r="AA293" s="68"/>
      <c r="AB293" s="68"/>
    </row>
    <row r="294" spans="1:28" ht="16.899999999999999" customHeight="1" x14ac:dyDescent="0.25">
      <c r="A294" s="66"/>
      <c r="B294" s="77"/>
      <c r="C294" s="63"/>
      <c r="D294" s="67"/>
      <c r="E294" s="100"/>
      <c r="F294" s="61"/>
      <c r="G294" s="61"/>
      <c r="H294" s="61"/>
      <c r="I294" s="61"/>
      <c r="J294" s="62"/>
      <c r="K294" s="61"/>
      <c r="L294" s="61"/>
      <c r="M294" s="62"/>
      <c r="N294" s="104"/>
      <c r="O294" s="61"/>
      <c r="P294" s="62"/>
      <c r="Q294" s="73"/>
      <c r="R294" s="68"/>
      <c r="S294" s="68"/>
      <c r="T294" s="68"/>
      <c r="U294" s="68"/>
      <c r="V294" s="68"/>
      <c r="W294" s="69"/>
      <c r="X294" s="68"/>
      <c r="Y294" s="70"/>
      <c r="Z294" s="68"/>
      <c r="AA294" s="68"/>
      <c r="AB294" s="68"/>
    </row>
    <row r="295" spans="1:28" ht="16.899999999999999" customHeight="1" x14ac:dyDescent="0.25">
      <c r="A295" s="66"/>
      <c r="B295" s="77"/>
      <c r="C295" s="63"/>
      <c r="D295" s="67"/>
      <c r="E295" s="100"/>
      <c r="F295" s="61"/>
      <c r="G295" s="61"/>
      <c r="H295" s="61"/>
      <c r="I295" s="61"/>
      <c r="J295" s="62"/>
      <c r="K295" s="61"/>
      <c r="L295" s="61"/>
      <c r="M295" s="62"/>
      <c r="N295" s="104"/>
      <c r="O295" s="61"/>
      <c r="P295" s="62"/>
      <c r="Q295" s="73"/>
      <c r="R295" s="68"/>
      <c r="S295" s="68"/>
      <c r="T295" s="68"/>
      <c r="U295" s="68"/>
      <c r="V295" s="68"/>
      <c r="W295" s="69"/>
      <c r="X295" s="68"/>
      <c r="Y295" s="70"/>
      <c r="Z295" s="68"/>
      <c r="AA295" s="68"/>
      <c r="AB295" s="68"/>
    </row>
    <row r="296" spans="1:28" ht="16.899999999999999" customHeight="1" x14ac:dyDescent="0.25">
      <c r="A296" s="66"/>
      <c r="B296" s="77"/>
      <c r="C296" s="63"/>
      <c r="D296" s="67"/>
      <c r="E296" s="100"/>
      <c r="F296" s="61"/>
      <c r="G296" s="61"/>
      <c r="H296" s="61"/>
      <c r="I296" s="61"/>
      <c r="J296" s="62"/>
      <c r="K296" s="61"/>
      <c r="L296" s="61"/>
      <c r="M296" s="62"/>
      <c r="N296" s="104"/>
      <c r="O296" s="61"/>
      <c r="P296" s="62"/>
      <c r="Q296" s="73"/>
      <c r="R296" s="68"/>
      <c r="S296" s="68"/>
      <c r="T296" s="68"/>
      <c r="U296" s="68"/>
      <c r="V296" s="68"/>
      <c r="W296" s="69"/>
      <c r="X296" s="68"/>
      <c r="Y296" s="70"/>
      <c r="Z296" s="68"/>
      <c r="AA296" s="68"/>
      <c r="AB296" s="68"/>
    </row>
    <row r="297" spans="1:28" ht="16.899999999999999" customHeight="1" x14ac:dyDescent="0.25">
      <c r="A297" s="66"/>
      <c r="B297" s="77"/>
      <c r="C297" s="63"/>
      <c r="D297" s="67"/>
      <c r="E297" s="100"/>
      <c r="F297" s="61"/>
      <c r="G297" s="61"/>
      <c r="H297" s="61"/>
      <c r="I297" s="61"/>
      <c r="J297" s="62"/>
      <c r="K297" s="61"/>
      <c r="L297" s="61"/>
      <c r="M297" s="62"/>
      <c r="N297" s="104"/>
      <c r="O297" s="61"/>
      <c r="P297" s="62"/>
      <c r="Q297" s="73"/>
      <c r="R297" s="68"/>
      <c r="S297" s="68"/>
      <c r="T297" s="68"/>
      <c r="U297" s="68"/>
      <c r="V297" s="68"/>
      <c r="W297" s="69"/>
      <c r="X297" s="68"/>
      <c r="Y297" s="70"/>
      <c r="Z297" s="68"/>
      <c r="AA297" s="68"/>
      <c r="AB297" s="68"/>
    </row>
    <row r="298" spans="1:28" ht="16.899999999999999" customHeight="1" x14ac:dyDescent="0.25">
      <c r="A298" s="66"/>
      <c r="B298" s="77"/>
      <c r="C298" s="63"/>
      <c r="D298" s="67"/>
      <c r="E298" s="100"/>
      <c r="F298" s="61"/>
      <c r="G298" s="61"/>
      <c r="H298" s="61"/>
      <c r="I298" s="61"/>
      <c r="J298" s="62"/>
      <c r="K298" s="61"/>
      <c r="L298" s="61"/>
      <c r="M298" s="62"/>
      <c r="N298" s="104"/>
      <c r="O298" s="61"/>
      <c r="P298" s="62"/>
      <c r="Q298" s="73"/>
      <c r="R298" s="68"/>
      <c r="S298" s="68"/>
      <c r="T298" s="68"/>
      <c r="U298" s="68"/>
      <c r="V298" s="68"/>
      <c r="W298" s="69"/>
      <c r="X298" s="68"/>
      <c r="Y298" s="70"/>
      <c r="Z298" s="68"/>
      <c r="AA298" s="68"/>
      <c r="AB298" s="68"/>
    </row>
    <row r="299" spans="1:28" ht="16.899999999999999" customHeight="1" x14ac:dyDescent="0.25">
      <c r="A299" s="66"/>
      <c r="B299" s="77"/>
      <c r="C299" s="63"/>
      <c r="D299" s="67"/>
      <c r="E299" s="100"/>
      <c r="F299" s="61"/>
      <c r="G299" s="61"/>
      <c r="H299" s="61"/>
      <c r="I299" s="61"/>
      <c r="J299" s="62"/>
      <c r="K299" s="61"/>
      <c r="L299" s="61"/>
      <c r="M299" s="62"/>
      <c r="N299" s="104"/>
      <c r="O299" s="61"/>
      <c r="P299" s="62"/>
      <c r="Q299" s="73"/>
      <c r="R299" s="68"/>
      <c r="S299" s="68"/>
      <c r="T299" s="68"/>
      <c r="U299" s="68"/>
      <c r="V299" s="68"/>
      <c r="W299" s="69"/>
      <c r="X299" s="68"/>
      <c r="Y299" s="70"/>
      <c r="Z299" s="68"/>
      <c r="AA299" s="68"/>
      <c r="AB299" s="68"/>
    </row>
    <row r="300" spans="1:28" ht="16.899999999999999" customHeight="1" x14ac:dyDescent="0.25">
      <c r="A300" s="66"/>
      <c r="B300" s="77"/>
      <c r="C300" s="63"/>
      <c r="D300" s="67"/>
      <c r="E300" s="100"/>
      <c r="F300" s="61"/>
      <c r="G300" s="61"/>
      <c r="H300" s="61"/>
      <c r="I300" s="61"/>
      <c r="J300" s="62"/>
      <c r="K300" s="61"/>
      <c r="L300" s="61"/>
      <c r="M300" s="62"/>
      <c r="N300" s="104"/>
      <c r="O300" s="61"/>
      <c r="P300" s="62"/>
      <c r="Q300" s="73"/>
      <c r="R300" s="68"/>
      <c r="S300" s="68"/>
      <c r="T300" s="68"/>
      <c r="U300" s="68"/>
      <c r="V300" s="68"/>
      <c r="W300" s="69"/>
      <c r="X300" s="68"/>
      <c r="Y300" s="70"/>
      <c r="Z300" s="68"/>
      <c r="AA300" s="68"/>
      <c r="AB300" s="68"/>
    </row>
  </sheetData>
  <sheetProtection selectLockedCells="1"/>
  <phoneticPr fontId="4" type="noConversion"/>
  <conditionalFormatting sqref="A3:A300">
    <cfRule type="cellIs" dxfId="15" priority="1125" operator="equal">
      <formula>0</formula>
    </cfRule>
  </conditionalFormatting>
  <conditionalFormatting sqref="B4:G4 L3:L7 Y3:AB13 I4 W14:AB35 O3:P300 W3:Z300 L32:L300">
    <cfRule type="expression" dxfId="14" priority="10">
      <formula>$R3&gt;0</formula>
    </cfRule>
  </conditionalFormatting>
  <conditionalFormatting sqref="B5:I7 B8:H8 B9:E9 B10:I19 H3:H32 G9:I9">
    <cfRule type="expression" dxfId="13" priority="6">
      <formula>$R3&gt;0</formula>
    </cfRule>
  </conditionalFormatting>
  <conditionalFormatting sqref="E1:E1048576">
    <cfRule type="duplicateValues" dxfId="0" priority="1"/>
  </conditionalFormatting>
  <conditionalFormatting sqref="I8">
    <cfRule type="expression" dxfId="12" priority="1107">
      <formula>$R9&gt;0</formula>
    </cfRule>
  </conditionalFormatting>
  <conditionalFormatting sqref="L8:L31">
    <cfRule type="expression" dxfId="11" priority="1116">
      <formula>$R7&gt;0</formula>
    </cfRule>
  </conditionalFormatting>
  <dataValidations count="4">
    <dataValidation type="whole" operator="greaterThan" allowBlank="1" showInputMessage="1" showErrorMessage="1" sqref="C3:C100" xr:uid="{9DE916E8-2DBF-429C-9117-8394564E9843}">
      <formula1>0</formula1>
    </dataValidation>
    <dataValidation operator="greaterThan" allowBlank="1" showInputMessage="1" showErrorMessage="1" errorTitle="Apenas Números" error="Para garantir a autenticidade da base, nesse campo só é permitido a inclusão de números." sqref="A3:A100" xr:uid="{BF74730B-58DE-4762-BF7B-8E5146E8A879}"/>
    <dataValidation type="list" operator="greaterThan" allowBlank="1" showErrorMessage="1" sqref="G2:G100" xr:uid="{A0B0A9E8-B622-4273-AA7E-3CCE57A50010}">
      <formula1>"Sim,Não"</formula1>
    </dataValidation>
    <dataValidation operator="greaterThan" allowBlank="1" showErrorMessage="1" errorTitle="Insira apenas números" error="Nesse campo é necessário incluir apenas os valores em números. Se houver algum outro caractere, inclusive espaços, esse erro irá aparecer." sqref="E1:E9 E11:E1048576 M1:M1048576" xr:uid="{B3183527-21A2-480C-BD68-EE1C7AAE3AD4}"/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2" listDataValidation="1"/>
  </ignoredErrors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26" id="{06EA7D5F-5727-4139-97B2-AE05C383B67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2"/>
              <x14:cfIcon iconSet="3Symbols2" iconId="2"/>
              <x14:cfIcon iconSet="3Symbols2" iconId="0"/>
            </x14:iconSet>
          </x14:cfRule>
          <xm:sqref>A3:A300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operator="greaterThan" allowBlank="1" showErrorMessage="1" errorTitle="Insira apenas números" error="Nesse campo é necessário incluir apenas os valores em números. Se houver algum outro caractere, inclusive espaços, esse erro irá aparecer." xr:uid="{474A4A93-5B1F-453A-A297-42B87AFD91EA}">
          <x14:formula1>
            <xm:f>Apoio!$H$4:$H$6</xm:f>
          </x14:formula1>
          <xm:sqref>H3:H32</xm:sqref>
        </x14:dataValidation>
        <x14:dataValidation type="list" operator="greaterThan" allowBlank="1" showErrorMessage="1" errorTitle="Insira apenas números" error="Nesse campo é necessário incluir apenas os valores em números. Se houver algum outro caractere, inclusive espaços, esse erro irá aparecer." xr:uid="{5096AE17-568E-449E-B9A2-9983671990C1}">
          <x14:formula1>
            <xm:f>Apoio!$H$19:$H$22</xm:f>
          </x14:formula1>
          <xm:sqref>I3:I100</xm:sqref>
        </x14:dataValidation>
        <x14:dataValidation type="list" operator="greaterThan" allowBlank="1" showErrorMessage="1" errorTitle="Insira apenas números" error="Nesse campo é necessário incluir apenas os valores em números. Se houver algum outro caractere, inclusive espaços, esse erro irá aparecer." xr:uid="{65BB50CD-3C16-4FDE-9022-D2BDEAF6CA93}">
          <x14:formula1>
            <xm:f>Apoio!$D$39:$D$61</xm:f>
          </x14:formula1>
          <xm:sqref>K3:K100</xm:sqref>
        </x14:dataValidation>
        <x14:dataValidation type="list" operator="greaterThan" allowBlank="1" showErrorMessage="1" errorTitle="Insira apenas números" error="Nesse campo é necessário incluir apenas os valores em números. Se houver algum outro caractere, inclusive espaços, esse erro irá aparecer." xr:uid="{8EF8899B-96CE-4770-86C0-CFAD8C735150}">
          <x14:formula1>
            <xm:f>Apoio!$F$14:$F$25</xm:f>
          </x14:formula1>
          <xm:sqref>L3:L100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C014-53E7-4CE9-BFFB-694633B877AC}">
  <dimension ref="A1:I2"/>
  <sheetViews>
    <sheetView showGridLines="0" topLeftCell="C1" workbookViewId="0">
      <selection activeCell="G8" sqref="G8"/>
    </sheetView>
  </sheetViews>
  <sheetFormatPr defaultRowHeight="15" x14ac:dyDescent="0.25"/>
  <cols>
    <col min="1" max="1" width="16.28515625" style="8" customWidth="1"/>
    <col min="2" max="2" width="22.28515625" style="8" customWidth="1"/>
    <col min="3" max="3" width="40.28515625" style="8" customWidth="1"/>
    <col min="4" max="4" width="26.5703125" style="8" customWidth="1"/>
    <col min="5" max="5" width="16.7109375" style="8" customWidth="1"/>
    <col min="6" max="6" width="36.7109375" style="8" customWidth="1"/>
    <col min="7" max="7" width="20" style="8" customWidth="1"/>
    <col min="8" max="8" width="24.42578125" style="8" bestFit="1" customWidth="1"/>
    <col min="9" max="9" width="17.7109375" style="45" customWidth="1"/>
  </cols>
  <sheetData>
    <row r="1" spans="1:9" x14ac:dyDescent="0.25">
      <c r="A1" s="8" t="s">
        <v>159</v>
      </c>
      <c r="B1" s="8" t="s">
        <v>160</v>
      </c>
      <c r="C1" s="8" t="s">
        <v>161</v>
      </c>
      <c r="D1" s="8" t="s">
        <v>162</v>
      </c>
      <c r="E1" s="8" t="s">
        <v>163</v>
      </c>
      <c r="F1" s="8" t="s">
        <v>164</v>
      </c>
      <c r="G1" s="8" t="s">
        <v>165</v>
      </c>
      <c r="H1" s="8" t="s">
        <v>166</v>
      </c>
      <c r="I1" s="45" t="s">
        <v>167</v>
      </c>
    </row>
    <row r="2" spans="1:9" x14ac:dyDescent="0.25">
      <c r="A2" s="8" t="str">
        <f t="array" aca="1" ref="A2" ca="1">IFERROR(OFFSET(Tabela1[[#Headers],[Nº Nota ou Recibo]],1,0,Infos!$E$5,1),"")</f>
        <v/>
      </c>
      <c r="B2" s="8" t="str">
        <f t="array" aca="1" ref="B2" ca="1">IFERROR(_xlfn.XLOOKUP(OFFSET(Tabela1[[#Headers],[Nível 3 - Despesa]],1,0,Infos!$E$5,1),Tabela2[Nível 3],Tabela2[Nível 1]),"")</f>
        <v/>
      </c>
      <c r="C2" s="8" t="str">
        <f t="array" aca="1" ref="C2" ca="1">IFERROR(OFFSET(Tabela1[[#Headers],[Empresa Pagadora]],1,0,Infos!$E$5,1),"")</f>
        <v/>
      </c>
      <c r="D2" s="8" t="str">
        <f t="array" aca="1" ref="D2" ca="1">IFERROR(OFFSET(Tabela1[[#Headers],[Escritório]],1,0,Infos!$E$5,1),"")</f>
        <v/>
      </c>
      <c r="E2" s="8" t="str">
        <f t="array" aca="1" ref="E2" ca="1">IFERROR(OFFSET(Tabela1[[#Headers],[ID do  Caso]],1,0,Infos!$E$5,1),"")</f>
        <v/>
      </c>
      <c r="F2" s="8" t="str">
        <f t="array" aca="1" ref="F2" ca="1">IFERROR(UPPER(OFFSET(Tabela1[[#Headers],[Autor]],1,0,Infos!$E$5,1)),"")</f>
        <v/>
      </c>
      <c r="G2" s="8" t="str">
        <f t="array" aca="1" ref="G2" ca="1">IFERROR(OFFSET(Tabela1[[#Headers],[Réu]],1,0,Infos!$E$5,1),"")</f>
        <v/>
      </c>
      <c r="H2" s="8" t="str">
        <f t="array" aca="1" ref="H2" ca="1">IFERROR(OFFSET(Tabela1[[#Headers],[Nº Processo]],1,0,Infos!$E$5,1),"")</f>
        <v/>
      </c>
      <c r="I2" s="45" t="str">
        <f t="array" aca="1" ref="I2" ca="1">IFERROR(OFFSET(Tabela1[[#Headers],[R$ Valor]],1,0,Infos!$E$5,1),"")</f>
        <v/>
      </c>
    </row>
  </sheetData>
  <sheetProtection select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5052-E443-4DA2-8691-329CE0CAF7AC}">
  <sheetPr codeName="Planilha3"/>
  <dimension ref="A1:AB20"/>
  <sheetViews>
    <sheetView showGridLines="0" topLeftCell="A5" workbookViewId="0">
      <selection activeCell="C15" sqref="C15"/>
    </sheetView>
  </sheetViews>
  <sheetFormatPr defaultRowHeight="18" x14ac:dyDescent="0.35"/>
  <cols>
    <col min="1" max="1" width="11.28515625" style="1" customWidth="1"/>
    <col min="2" max="2" width="27.7109375" style="25" customWidth="1"/>
    <col min="3" max="3" width="78.28515625" style="25" customWidth="1"/>
    <col min="4" max="4" width="8.7109375" style="17"/>
    <col min="5" max="5" width="28.28515625" style="17" customWidth="1"/>
    <col min="6" max="28" width="8.7109375" style="2"/>
  </cols>
  <sheetData>
    <row r="1" spans="1:28" s="15" customFormat="1" ht="42.4" customHeight="1" x14ac:dyDescent="0.35">
      <c r="A1" s="19"/>
      <c r="B1" s="20" t="s">
        <v>168</v>
      </c>
      <c r="C1" s="21"/>
      <c r="D1" s="16"/>
      <c r="E1" s="16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21" customHeight="1" x14ac:dyDescent="0.35">
      <c r="B2" s="22"/>
      <c r="C2" s="22"/>
    </row>
    <row r="3" spans="1:28" ht="25.5" customHeight="1" x14ac:dyDescent="0.35">
      <c r="B3" s="23" t="s">
        <v>169</v>
      </c>
      <c r="C3" s="24"/>
      <c r="E3" s="59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</row>
    <row r="4" spans="1:28" ht="18" hidden="1" customHeight="1" thickTop="1" x14ac:dyDescent="0.35">
      <c r="B4" s="25" t="s">
        <v>170</v>
      </c>
      <c r="C4" s="25" t="s">
        <v>171</v>
      </c>
      <c r="E4" s="59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</row>
    <row r="5" spans="1:28" ht="28.15" customHeight="1" x14ac:dyDescent="0.35">
      <c r="B5" s="28" t="s">
        <v>172</v>
      </c>
      <c r="C5" s="34"/>
      <c r="E5" s="47">
        <f>COUNTA(Tabela1[ID do  Caso])</f>
        <v>0</v>
      </c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</row>
    <row r="6" spans="1:28" ht="22.15" customHeight="1" x14ac:dyDescent="0.35">
      <c r="B6" s="29" t="s">
        <v>173</v>
      </c>
      <c r="C6" s="35"/>
      <c r="E6" s="59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</row>
    <row r="7" spans="1:28" ht="22.15" customHeight="1" x14ac:dyDescent="0.35">
      <c r="B7" s="28" t="s">
        <v>180</v>
      </c>
      <c r="C7" s="36"/>
      <c r="E7" s="59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</row>
    <row r="8" spans="1:28" ht="22.15" customHeight="1" x14ac:dyDescent="0.35">
      <c r="B8" s="29" t="s">
        <v>181</v>
      </c>
      <c r="C8" s="46"/>
      <c r="E8" s="59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</row>
    <row r="9" spans="1:28" ht="36.4" customHeight="1" x14ac:dyDescent="0.35">
      <c r="B9" s="43" t="s">
        <v>174</v>
      </c>
      <c r="C9" s="34"/>
      <c r="E9" s="59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</row>
    <row r="10" spans="1:28" s="10" customFormat="1" ht="21.4" customHeight="1" x14ac:dyDescent="0.25">
      <c r="A10" s="9"/>
      <c r="B10" s="29" t="s">
        <v>175</v>
      </c>
      <c r="C10" s="35" t="s">
        <v>176</v>
      </c>
      <c r="D10" s="18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7"/>
      <c r="X10" s="7"/>
      <c r="Y10" s="7"/>
      <c r="Z10" s="7"/>
      <c r="AA10" s="7"/>
      <c r="AB10" s="7"/>
    </row>
    <row r="11" spans="1:28" s="10" customFormat="1" ht="21.4" customHeight="1" x14ac:dyDescent="0.25">
      <c r="A11" s="9"/>
      <c r="B11" s="28" t="s">
        <v>179</v>
      </c>
      <c r="C11" s="30"/>
      <c r="D11" s="18"/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7"/>
      <c r="X11" s="7"/>
      <c r="Y11" s="7"/>
      <c r="Z11" s="7"/>
      <c r="AA11" s="7"/>
      <c r="AB11" s="7"/>
    </row>
    <row r="12" spans="1:28" s="10" customFormat="1" ht="21.4" customHeight="1" x14ac:dyDescent="0.25">
      <c r="A12" s="9"/>
      <c r="B12" s="29" t="s">
        <v>177</v>
      </c>
      <c r="C12" s="33">
        <f>SUMIF(Tabela1[Validação],"&gt;"&amp;0,Tabela1[R$ Valor])</f>
        <v>0</v>
      </c>
      <c r="D12" s="18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7"/>
      <c r="X12" s="7"/>
      <c r="Y12" s="7"/>
      <c r="Z12" s="7"/>
      <c r="AA12" s="7"/>
      <c r="AB12" s="7"/>
    </row>
    <row r="13" spans="1:28" s="10" customFormat="1" ht="24" customHeight="1" x14ac:dyDescent="0.25">
      <c r="A13" s="9"/>
      <c r="B13" s="44"/>
      <c r="C13" s="28"/>
      <c r="D13" s="18"/>
      <c r="E13" s="57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"/>
      <c r="X13" s="7"/>
      <c r="Y13" s="7"/>
      <c r="Z13" s="7"/>
      <c r="AA13" s="7"/>
      <c r="AB13" s="7"/>
    </row>
    <row r="14" spans="1:28" s="10" customFormat="1" ht="24" customHeight="1" x14ac:dyDescent="0.25">
      <c r="A14" s="9"/>
      <c r="B14" s="31" t="s">
        <v>178</v>
      </c>
      <c r="C14" s="32"/>
      <c r="D14" s="18"/>
      <c r="E14" s="57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"/>
      <c r="X14" s="7"/>
      <c r="Y14" s="7"/>
      <c r="Z14" s="7"/>
      <c r="AA14" s="7"/>
      <c r="AB14" s="7"/>
    </row>
    <row r="15" spans="1:28" x14ac:dyDescent="0.35">
      <c r="E15" s="55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</row>
    <row r="16" spans="1:28" ht="20.65" customHeight="1" thickBot="1" x14ac:dyDescent="0.4">
      <c r="B16" s="26" t="str">
        <f>IF(COUNTIF(Tabela1[Campos Não Preenchidos],"&gt;"&amp;0)&gt;0,"1. Existem registros incompletos que não serão considerados para análise.","")</f>
        <v/>
      </c>
      <c r="C16" s="26"/>
      <c r="E16" s="55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</row>
    <row r="17" spans="2:22" ht="20.65" customHeight="1" thickBot="1" x14ac:dyDescent="0.4">
      <c r="B17" s="27" t="str">
        <f>IF(COUNTIF(Tabela1[Range de Pagamento],"&gt;"&amp;0)&gt;0,"2. Existem registros fora do prazo de reembolso.","")</f>
        <v/>
      </c>
      <c r="C17" s="27"/>
      <c r="E17" s="55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</row>
    <row r="18" spans="2:22" ht="25.15" customHeight="1" x14ac:dyDescent="0.35">
      <c r="B18" s="25" t="str">
        <f>IF(COUNTIF(Tabela1[Duplicidade na solicitação],"&gt;"&amp;0)&gt;0,"3. Existem registros duplicados nessa solicitação.","")</f>
        <v/>
      </c>
      <c r="E18" s="55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</row>
    <row r="20" spans="2:22" x14ac:dyDescent="0.35">
      <c r="B20" s="22">
        <f>SUM(Tabela1[Validação])</f>
        <v>0</v>
      </c>
    </row>
  </sheetData>
  <sheetProtection selectLockedCells="1"/>
  <conditionalFormatting sqref="A1:XFD1 B16:C16">
    <cfRule type="expression" dxfId="10" priority="6">
      <formula>$B$16&lt;&gt;""</formula>
    </cfRule>
  </conditionalFormatting>
  <conditionalFormatting sqref="A1:XFD1 B17:C17">
    <cfRule type="expression" dxfId="9" priority="5">
      <formula>$B$17&lt;&gt;""</formula>
    </cfRule>
  </conditionalFormatting>
  <conditionalFormatting sqref="A1:XFD1 B18:C18">
    <cfRule type="expression" dxfId="8" priority="4">
      <formula>$B$18&lt;&gt;""</formula>
    </cfRule>
  </conditionalFormatting>
  <conditionalFormatting sqref="B14:C14">
    <cfRule type="expression" dxfId="7" priority="1">
      <formula>$B$20=0</formula>
    </cfRule>
  </conditionalFormatting>
  <conditionalFormatting sqref="C11">
    <cfRule type="cellIs" dxfId="6" priority="2" operator="greaterThan">
      <formula>0</formula>
    </cfRule>
  </conditionalFormatting>
  <conditionalFormatting sqref="C12">
    <cfRule type="cellIs" dxfId="5" priority="3" operator="greaterThan">
      <formula>0</formula>
    </cfRule>
  </conditionalFormatting>
  <dataValidations count="1">
    <dataValidation type="list" allowBlank="1" showInputMessage="1" showErrorMessage="1" sqref="C10" xr:uid="{28CCF3F6-A68F-42A5-BE74-815FFE5156CB}">
      <formula1>"Fundo Fixo,Reembolso"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C845E68F646D479D35DA1327C447B7" ma:contentTypeVersion="15" ma:contentTypeDescription="Crie um novo documento." ma:contentTypeScope="" ma:versionID="85dc779ce417f367018d71e342375459">
  <xsd:schema xmlns:xsd="http://www.w3.org/2001/XMLSchema" xmlns:xs="http://www.w3.org/2001/XMLSchema" xmlns:p="http://schemas.microsoft.com/office/2006/metadata/properties" xmlns:ns2="ee2c6d60-68e8-4e03-8fae-ca3d459ee295" xmlns:ns3="5b7d4a57-b98a-4fa2-aa3e-bd9ce71de898" targetNamespace="http://schemas.microsoft.com/office/2006/metadata/properties" ma:root="true" ma:fieldsID="6a2528decc20487ea2d39d0573037e4c" ns2:_="" ns3:_="">
    <xsd:import namespace="ee2c6d60-68e8-4e03-8fae-ca3d459ee295"/>
    <xsd:import namespace="5b7d4a57-b98a-4fa2-aa3e-bd9ce71de89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c6d60-68e8-4e03-8fae-ca3d459ee29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423a7f-bf41-455e-8fc3-cd80ae04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d4a57-b98a-4fa2-aa3e-bd9ce71de89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a6de2f0-7c03-42a6-b641-eb78cf1c07a8}" ma:internalName="TaxCatchAll" ma:showField="CatchAllData" ma:web="5b7d4a57-b98a-4fa2-aa3e-bd9ce71de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2c6d60-68e8-4e03-8fae-ca3d459ee295">
      <Terms xmlns="http://schemas.microsoft.com/office/infopath/2007/PartnerControls"/>
    </lcf76f155ced4ddcb4097134ff3c332f>
    <TaxCatchAll xmlns="5b7d4a57-b98a-4fa2-aa3e-bd9ce71de8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F179897E-CB34-4BBA-9DD3-6C487B785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c6d60-68e8-4e03-8fae-ca3d459ee295"/>
    <ds:schemaRef ds:uri="5b7d4a57-b98a-4fa2-aa3e-bd9ce71de8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850BA5-8D20-493B-9A93-0E1DA449D2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2854C4-808D-40DB-8424-708CF9DF46B9}">
  <ds:schemaRefs>
    <ds:schemaRef ds:uri="http://schemas.microsoft.com/office/2006/metadata/properties"/>
    <ds:schemaRef ds:uri="http://schemas.microsoft.com/office/infopath/2007/PartnerControls"/>
    <ds:schemaRef ds:uri="ee2c6d60-68e8-4e03-8fae-ca3d459ee295"/>
    <ds:schemaRef ds:uri="5b7d4a57-b98a-4fa2-aa3e-bd9ce71de898"/>
  </ds:schemaRefs>
</ds:datastoreItem>
</file>

<file path=customXml/itemProps4.xml><?xml version="1.0" encoding="utf-8"?>
<ds:datastoreItem xmlns:ds="http://schemas.openxmlformats.org/officeDocument/2006/customXml" ds:itemID="{89B165C4-5FF3-4A60-A474-2873A45C01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Apoio</vt:lpstr>
      <vt:lpstr>Base</vt:lpstr>
      <vt:lpstr>Contábil</vt:lpstr>
      <vt:lpstr>Infos</vt:lpstr>
      <vt:lpstr>base</vt:lpstr>
      <vt:lpstr>Cabecalho</vt:lpstr>
    </vt:vector>
  </TitlesOfParts>
  <Manager/>
  <Company>BancoPan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Tulio Henrique Alves Gomes</dc:creator>
  <cp:keywords/>
  <dc:description/>
  <cp:lastModifiedBy>Marcelo Amancio</cp:lastModifiedBy>
  <cp:revision/>
  <dcterms:created xsi:type="dcterms:W3CDTF">2023-05-18T12:43:09Z</dcterms:created>
  <dcterms:modified xsi:type="dcterms:W3CDTF">2026-04-10T15:19:50Z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8dbd95-bb39-4ca6-848b-223249ce916e_Enabled">
    <vt:lpwstr>true</vt:lpwstr>
  </property>
  <property fmtid="{D5CDD505-2E9C-101B-9397-08002B2CF9AE}" pid="3" name="MSIP_Label_a58dbd95-bb39-4ca6-848b-223249ce916e_SetDate">
    <vt:lpwstr>2023-05-18T13:32:50Z</vt:lpwstr>
  </property>
  <property fmtid="{D5CDD505-2E9C-101B-9397-08002B2CF9AE}" pid="4" name="MSIP_Label_a58dbd95-bb39-4ca6-848b-223249ce916e_Method">
    <vt:lpwstr>Privileged</vt:lpwstr>
  </property>
  <property fmtid="{D5CDD505-2E9C-101B-9397-08002B2CF9AE}" pid="5" name="MSIP_Label_a58dbd95-bb39-4ca6-848b-223249ce916e_Name">
    <vt:lpwstr>a58dbd95-bb39-4ca6-848b-223249ce916e</vt:lpwstr>
  </property>
  <property fmtid="{D5CDD505-2E9C-101B-9397-08002B2CF9AE}" pid="6" name="MSIP_Label_a58dbd95-bb39-4ca6-848b-223249ce916e_SiteId">
    <vt:lpwstr>de89e620-b2ae-4c38-891c-d370c876b2e6</vt:lpwstr>
  </property>
  <property fmtid="{D5CDD505-2E9C-101B-9397-08002B2CF9AE}" pid="7" name="MSIP_Label_a58dbd95-bb39-4ca6-848b-223249ce916e_ActionId">
    <vt:lpwstr>09f57723-c244-4f6f-ba0a-3bee1bc295f8</vt:lpwstr>
  </property>
  <property fmtid="{D5CDD505-2E9C-101B-9397-08002B2CF9AE}" pid="8" name="MSIP_Label_a58dbd95-bb39-4ca6-848b-223249ce916e_ContentBits">
    <vt:lpwstr>0</vt:lpwstr>
  </property>
  <property fmtid="{D5CDD505-2E9C-101B-9397-08002B2CF9AE}" pid="9" name="ContentTypeId">
    <vt:lpwstr>0x010100C0C845E68F646D479D35DA1327C447B7</vt:lpwstr>
  </property>
  <property fmtid="{D5CDD505-2E9C-101B-9397-08002B2CF9AE}" pid="10" name="MediaServiceImageTags">
    <vt:lpwstr/>
  </property>
</Properties>
</file>